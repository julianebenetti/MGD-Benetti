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0524efa640ed968/Documentos/@ Empresas/@ NeoEnergia/FOPAG/"/>
    </mc:Choice>
  </mc:AlternateContent>
  <xr:revisionPtr revIDLastSave="0" documentId="8_{F1AEFAD6-E22D-4EBC-905C-750AB343BD44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📊 Resumo Anual" sheetId="1" r:id="rId1"/>
    <sheet name="📋 Detalhe por Mês" sheetId="2" r:id="rId2"/>
    <sheet name="📄 IRPF 2026" sheetId="3" r:id="rId3"/>
    <sheet name="🏦 FGTS e Deduçõ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8" i="4" l="1"/>
  <c r="F18" i="4"/>
  <c r="E18" i="4"/>
  <c r="D18" i="4"/>
  <c r="C18" i="4"/>
  <c r="B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I19" i="1"/>
  <c r="H19" i="1"/>
  <c r="G19" i="1"/>
  <c r="F19" i="1"/>
  <c r="E19" i="1"/>
  <c r="D19" i="1"/>
</calcChain>
</file>

<file path=xl/sharedStrings.xml><?xml version="1.0" encoding="utf-8"?>
<sst xmlns="http://schemas.openxmlformats.org/spreadsheetml/2006/main" count="586" uniqueCount="239">
  <si>
    <t>HOLERITES 2025 – JULIANE FERREIRA BENETTI  |  EKT ELEKTRO REDES S.A.</t>
  </si>
  <si>
    <t>Analista PL  •  Matrícula 617571  •  Banco Itaú 341  |  Agência 341700  |  Conta 00806-4</t>
  </si>
  <si>
    <t>Competência</t>
  </si>
  <si>
    <t>Data Crédito</t>
  </si>
  <si>
    <t>Tipo</t>
  </si>
  <si>
    <t>Proventos Brutos</t>
  </si>
  <si>
    <t>Descontos</t>
  </si>
  <si>
    <t>Líquido Depositado</t>
  </si>
  <si>
    <t>INSS Retido</t>
  </si>
  <si>
    <t>IRRF Retido</t>
  </si>
  <si>
    <t>FGTS Dep.</t>
  </si>
  <si>
    <t>Observações</t>
  </si>
  <si>
    <t>Janeiro/2025</t>
  </si>
  <si>
    <t>24/01/2025</t>
  </si>
  <si>
    <t>Normal + Adto 13º</t>
  </si>
  <si>
    <t>Inclui Adiantamento 13º Salário (R$ 2.589,05)</t>
  </si>
  <si>
    <t>Fevereiro/2025</t>
  </si>
  <si>
    <t>25/02/2025</t>
  </si>
  <si>
    <t>Normal</t>
  </si>
  <si>
    <t>HE + adicional noturno + auxílio matrícula creche</t>
  </si>
  <si>
    <t>Março/2025 – PLR</t>
  </si>
  <si>
    <t>31/03/2025</t>
  </si>
  <si>
    <t>PLR</t>
  </si>
  <si>
    <t>PLR – Participação nos Lucros (tributação exclusiva)</t>
  </si>
  <si>
    <t>Março/2025</t>
  </si>
  <si>
    <t>25/03/2025</t>
  </si>
  <si>
    <t>Bradesco co-participação médica (R$ 292,48)</t>
  </si>
  <si>
    <t>Abril/2025</t>
  </si>
  <si>
    <t>25/04/2025</t>
  </si>
  <si>
    <t>HE diurna 100% + DSR</t>
  </si>
  <si>
    <t>Maio/2025</t>
  </si>
  <si>
    <t>23/05/2025</t>
  </si>
  <si>
    <t>Junho/2025</t>
  </si>
  <si>
    <t>25/06/2025</t>
  </si>
  <si>
    <t>Normal c/ retif.</t>
  </si>
  <si>
    <t>Retificação 05/2025 incluída</t>
  </si>
  <si>
    <t>Julho/2025 – Adto PLR</t>
  </si>
  <si>
    <t>25/07/2025</t>
  </si>
  <si>
    <t>Normal + Adto PLR</t>
  </si>
  <si>
    <t>Adiantamento PLR R$ 3.098,09 (tributação exclusiva)</t>
  </si>
  <si>
    <t>Agosto/2025</t>
  </si>
  <si>
    <t>25/08/2025</t>
  </si>
  <si>
    <t>Licença médica 07/2025 retificada; co-part. alta</t>
  </si>
  <si>
    <t>Setembro/2025</t>
  </si>
  <si>
    <t>25/09/2025</t>
  </si>
  <si>
    <t>HE + adicional noturno</t>
  </si>
  <si>
    <t>Outubro/2025</t>
  </si>
  <si>
    <t>24/10/2025</t>
  </si>
  <si>
    <t>Licença médica 09/2025 retificada (7 dias)</t>
  </si>
  <si>
    <t>Novembro/2025</t>
  </si>
  <si>
    <t>25/11/2025</t>
  </si>
  <si>
    <t>Retificações 09 e 10/2025; adiantamento mensal R$ 834,03</t>
  </si>
  <si>
    <t>Dez/2025 – Férias</t>
  </si>
  <si>
    <t>04/12/2025</t>
  </si>
  <si>
    <t>Férias</t>
  </si>
  <si>
    <t>15 dias de férias + 1/3 gratificação</t>
  </si>
  <si>
    <t>Dez/2025 – 13º Salário</t>
  </si>
  <si>
    <t>05/12/2025</t>
  </si>
  <si>
    <t>13º Salário</t>
  </si>
  <si>
    <t>Desconta 1ª parcela já paga em janeiro</t>
  </si>
  <si>
    <t>TOTAL ANUAL</t>
  </si>
  <si>
    <t>LEGENDA DE CORES:  🔵 Normal + Adiantamento 13º  |  🟢 PLR / Adto PLR  |  🟡 Mês com retificação  |  🟠 Férias / 13º Salário</t>
  </si>
  <si>
    <t xml:space="preserve">  Janeiro/2025  —  Normal + Adto 13º  |  Crédito: 24/01/2025</t>
  </si>
  <si>
    <t xml:space="preserve">  ℹ️  Inclui Adiantamento 13º Salário (R$ 2.589,05)</t>
  </si>
  <si>
    <t>Rubrica</t>
  </si>
  <si>
    <t>Descrição</t>
  </si>
  <si>
    <t>Proventos</t>
  </si>
  <si>
    <t>M010</t>
  </si>
  <si>
    <t>Salário mensal</t>
  </si>
  <si>
    <t>205N</t>
  </si>
  <si>
    <t>Auxílio-Creche</t>
  </si>
  <si>
    <t>20BN</t>
  </si>
  <si>
    <t>Auxílio-Creche c/Trib</t>
  </si>
  <si>
    <t>/332</t>
  </si>
  <si>
    <t>Adiant 13º Salário</t>
  </si>
  <si>
    <t>/T21</t>
  </si>
  <si>
    <t>DSR s/HE</t>
  </si>
  <si>
    <t>/314</t>
  </si>
  <si>
    <t>INSS</t>
  </si>
  <si>
    <t>/401</t>
  </si>
  <si>
    <t>IRRF</t>
  </si>
  <si>
    <t>/505</t>
  </si>
  <si>
    <t>VR/VA</t>
  </si>
  <si>
    <t>55AN</t>
  </si>
  <si>
    <t>NEOS CD</t>
  </si>
  <si>
    <t>55CN</t>
  </si>
  <si>
    <t>Cesta Base</t>
  </si>
  <si>
    <t>57AN</t>
  </si>
  <si>
    <t>Bradesco Saúde</t>
  </si>
  <si>
    <t>6A9N</t>
  </si>
  <si>
    <t>Bradesco Odonto</t>
  </si>
  <si>
    <t>TOTAIS</t>
  </si>
  <si>
    <t>Líq: R$ 7,708.27</t>
  </si>
  <si>
    <t xml:space="preserve">  Fevereiro/2025  —  Normal  |  Crédito: 25/02/2025</t>
  </si>
  <si>
    <t xml:space="preserve">  ℹ️  HE + adicional noturno + auxílio matrícula creche</t>
  </si>
  <si>
    <t>/T22</t>
  </si>
  <si>
    <t>DSR s/Ad.Noturno</t>
  </si>
  <si>
    <t>132K</t>
  </si>
  <si>
    <t>Aux.Creche Matrícula</t>
  </si>
  <si>
    <t>286N</t>
  </si>
  <si>
    <t>HE 100% Diurna</t>
  </si>
  <si>
    <t>303N</t>
  </si>
  <si>
    <t>Adicional Noturno</t>
  </si>
  <si>
    <t>Líq: R$ 5,530.97</t>
  </si>
  <si>
    <t xml:space="preserve">  Março/2025 – PLR  —  PLR  |  Crédito: 31/03/2025</t>
  </si>
  <si>
    <t xml:space="preserve">  ℹ️  PLR – Participação nos Lucros (tributação exclusiva)</t>
  </si>
  <si>
    <t>/B10</t>
  </si>
  <si>
    <t>PLR – Partic.Lucros e Resultados</t>
  </si>
  <si>
    <t>Líq: R$ 1,594.21</t>
  </si>
  <si>
    <t xml:space="preserve">  Março/2025  —  Normal  |  Crédito: 25/03/2025</t>
  </si>
  <si>
    <t xml:space="preserve">  ℹ️  Bradesco co-participação médica (R$ 292,48)</t>
  </si>
  <si>
    <t>578N</t>
  </si>
  <si>
    <t>Bradesco Co-part.Médica</t>
  </si>
  <si>
    <t>Líq: R$ 4,961.75</t>
  </si>
  <si>
    <t xml:space="preserve">  Abril/2025  —  Normal  |  Crédito: 25/04/2025</t>
  </si>
  <si>
    <t xml:space="preserve">  ℹ️  HE diurna 100% + DSR</t>
  </si>
  <si>
    <t>Líq: R$ 5,202.16</t>
  </si>
  <si>
    <t xml:space="preserve">  Maio/2025  —  Normal  |  Crédito: 23/05/2025</t>
  </si>
  <si>
    <t>Líq: R$ 5,228.03</t>
  </si>
  <si>
    <t xml:space="preserve">  Junho/2025  —  Normal c/ retif.  |  Crédito: 25/06/2025</t>
  </si>
  <si>
    <t xml:space="preserve">  ℹ️  Retificação 05/2025 incluída</t>
  </si>
  <si>
    <t>DSR s/HE (retif.05/2025)</t>
  </si>
  <si>
    <t>HE 100% Diurna (retif.05/2025)</t>
  </si>
  <si>
    <t>INSS (retif.05/2025)</t>
  </si>
  <si>
    <t>NEOS CD (retif.05/2025)</t>
  </si>
  <si>
    <t>Líq: R$ 5,283.33</t>
  </si>
  <si>
    <t xml:space="preserve">  Julho/2025 – Adto PLR  —  Normal + Adto PLR  |  Crédito: 25/07/2025</t>
  </si>
  <si>
    <t xml:space="preserve">  ℹ️  Adiantamento PLR R$ 3.098,09 (tributação exclusiva)</t>
  </si>
  <si>
    <t>10UN</t>
  </si>
  <si>
    <t>Adiantamento PLR</t>
  </si>
  <si>
    <t>Líq: R$ 8,102.68</t>
  </si>
  <si>
    <t xml:space="preserve">  Agosto/2025  —  Normal c/ retif.  |  Crédito: 25/08/2025</t>
  </si>
  <si>
    <t xml:space="preserve">  ℹ️  Licença médica 07/2025 retificada; co-part. alta</t>
  </si>
  <si>
    <t>Salário mensal (retif.07/2025)</t>
  </si>
  <si>
    <t>/T50</t>
  </si>
  <si>
    <t>Licença Médica (retif.07/2025)</t>
  </si>
  <si>
    <t>Líq: R$ 4,832.48</t>
  </si>
  <si>
    <t xml:space="preserve">  Setembro/2025  —  Normal  |  Crédito: 25/09/2025</t>
  </si>
  <si>
    <t xml:space="preserve">  ℹ️  HE + adicional noturno</t>
  </si>
  <si>
    <t>Líq: R$ 5,002.50</t>
  </si>
  <si>
    <t xml:space="preserve">  Outubro/2025  —  Normal c/ retif.  |  Crédito: 24/10/2025</t>
  </si>
  <si>
    <t xml:space="preserve">  ℹ️  Licença médica 09/2025 retificada (7 dias)</t>
  </si>
  <si>
    <t>Salário mensal (retif.09/2025)</t>
  </si>
  <si>
    <t>206N</t>
  </si>
  <si>
    <t>Auxílio-Creche c/IR</t>
  </si>
  <si>
    <t>Licença Médica (retif.09/2025)</t>
  </si>
  <si>
    <t>Líq: R$ 4,137.21</t>
  </si>
  <si>
    <t xml:space="preserve">  Novembro/2025  —  Normal c/ retif.  |  Crédito: 25/11/2025</t>
  </si>
  <si>
    <t xml:space="preserve">  ℹ️  Retificações 09 e 10/2025; adiantamento mensal R$ 834,03</t>
  </si>
  <si>
    <t>Salário mensal (retif.10/2025)</t>
  </si>
  <si>
    <t>Auxílio-Creche c/Trib (1)</t>
  </si>
  <si>
    <t>Auxílio-Creche c/IR (2)</t>
  </si>
  <si>
    <t>Auxílio-Creche c/Trib (2)</t>
  </si>
  <si>
    <t>DSR s/HE (retif.09/2025)</t>
  </si>
  <si>
    <t>DSR s/HE (retif.10/2025)</t>
  </si>
  <si>
    <t>Licença Médica (retif.10/2025)</t>
  </si>
  <si>
    <t>INSS (retif.09/2025)</t>
  </si>
  <si>
    <t>INSS (retif.10/2025)</t>
  </si>
  <si>
    <t>500N</t>
  </si>
  <si>
    <t>Adiantamento Pago</t>
  </si>
  <si>
    <t>NEOS CD (retif.09/2025)</t>
  </si>
  <si>
    <t>NEOS CD (retif.10/2025)</t>
  </si>
  <si>
    <t>Líq: R$ 4,346.99</t>
  </si>
  <si>
    <t xml:space="preserve">  Dez/2025 – Férias  —  Férias  |  Crédito: 04/12/2025</t>
  </si>
  <si>
    <t xml:space="preserve">  ℹ️  15 dias de férias + 1/3 gratificação</t>
  </si>
  <si>
    <t>0AM1</t>
  </si>
  <si>
    <t>Média HE Ad.Férias</t>
  </si>
  <si>
    <t>0AM4</t>
  </si>
  <si>
    <t>Média Ad.Noturno Ad.Férias</t>
  </si>
  <si>
    <t>0AM7</t>
  </si>
  <si>
    <t>Média DSR Ad.Férias</t>
  </si>
  <si>
    <t>116K</t>
  </si>
  <si>
    <t>Gratificação de Férias</t>
  </si>
  <si>
    <t>MZ00</t>
  </si>
  <si>
    <t>Férias (15 dias)</t>
  </si>
  <si>
    <t>/402</t>
  </si>
  <si>
    <t>IRRF s/Férias</t>
  </si>
  <si>
    <t>M388</t>
  </si>
  <si>
    <t>INSS (provisão)</t>
  </si>
  <si>
    <t>548N</t>
  </si>
  <si>
    <t>Prov. descontos férias</t>
  </si>
  <si>
    <t>54AN</t>
  </si>
  <si>
    <t>Prov. prev. privada férias</t>
  </si>
  <si>
    <t>MCP1</t>
  </si>
  <si>
    <t>Parcela/crédito prov. férias</t>
  </si>
  <si>
    <t>Líq: R$ 4,532.75</t>
  </si>
  <si>
    <t xml:space="preserve">  Dez/2025 – 13º Salário  —  13º Salário  |  Crédito: 05/12/2025</t>
  </si>
  <si>
    <t xml:space="preserve">  ℹ️  Desconta 1ª parcela já paga em janeiro</t>
  </si>
  <si>
    <t>/333</t>
  </si>
  <si>
    <t>13º Salário – Dezembro</t>
  </si>
  <si>
    <t>0DM1</t>
  </si>
  <si>
    <t>Média HE 13º</t>
  </si>
  <si>
    <t>0DM4</t>
  </si>
  <si>
    <t>Média Ad.Noturno 13º</t>
  </si>
  <si>
    <t>0DM7</t>
  </si>
  <si>
    <t>Média DSR 13º</t>
  </si>
  <si>
    <t>/303</t>
  </si>
  <si>
    <t>INSS 13º</t>
  </si>
  <si>
    <t>/403</t>
  </si>
  <si>
    <t>IRRF 13º</t>
  </si>
  <si>
    <t>/344</t>
  </si>
  <si>
    <t>Desc. 1ª Parcela 13º (adto jan)</t>
  </si>
  <si>
    <t>55BN</t>
  </si>
  <si>
    <t>NEOS CD 13º</t>
  </si>
  <si>
    <t>Líq: R$ 1,733.06</t>
  </si>
  <si>
    <t>VALORES PARA DECLARAÇÃO IRPF 2026  (Ano-Calendário 2025)</t>
  </si>
  <si>
    <t>Fonte: Informe de Rendimentos Elektro (emitido 02/02/2026)  •  Use estes valores na declaração</t>
  </si>
  <si>
    <t>QUADRO 3 – Rendimentos Tributáveis</t>
  </si>
  <si>
    <t xml:space="preserve">  L1  Total de Rendimentos (incl. férias)</t>
  </si>
  <si>
    <t xml:space="preserve">  L2  Contribuição Previdenciária Oficial (INSS)</t>
  </si>
  <si>
    <t xml:space="preserve">  L3  Prev. Complementar NEOS CD (dedutível)</t>
  </si>
  <si>
    <t xml:space="preserve">  L4  Pensão Alimentícia</t>
  </si>
  <si>
    <t xml:space="preserve">  L5  IRRF Retido na Fonte</t>
  </si>
  <si>
    <t>QUADRO 4 – Rendimentos Isentos e Não Tributáveis</t>
  </si>
  <si>
    <t xml:space="preserve">  L9  Outros – PIS / Abono Pecuniário / Reembolsos / Incentivo</t>
  </si>
  <si>
    <t xml:space="preserve">  ⚠️  Esses valores não aparecem nos holerites mensais — pagos separado pela Elektro.</t>
  </si>
  <si>
    <t>QUADRO 5 – Tributação Exclusiva na Fonte</t>
  </si>
  <si>
    <t xml:space="preserve">  L1  13º Salário (rendimento líquido)</t>
  </si>
  <si>
    <t xml:space="preserve">  L2  IRRF sobre 13º Salário</t>
  </si>
  <si>
    <t xml:space="preserve">  L3  Outros – PLR (Participação nos Lucros)</t>
  </si>
  <si>
    <t xml:space="preserve">  ⚠️  PLR = R$ 1.594,21 (Março) + R$ 3.098,09 (Adiantamento Julho). Confirmado exato.</t>
  </si>
  <si>
    <t>PLANOS DE SAÚDE – Dedução Médica</t>
  </si>
  <si>
    <t xml:space="preserve">  Bradesco Saúde – Titular (Juliane)</t>
  </si>
  <si>
    <t xml:space="preserve">  Bradesco Saúde – Dependente Hugo</t>
  </si>
  <si>
    <t xml:space="preserve">  Bradesco Saúde – Dependente Luca</t>
  </si>
  <si>
    <t xml:space="preserve">  Bradesco Saúde – Dependente Valentina</t>
  </si>
  <si>
    <t xml:space="preserve">  Odontoprev – Titular (Juliane)</t>
  </si>
  <si>
    <t xml:space="preserve">  Odontoprev – Dependente Hugo</t>
  </si>
  <si>
    <t xml:space="preserve">  Odontoprev – Dependente Luca</t>
  </si>
  <si>
    <t xml:space="preserve">  Odontoprev – Dependente Valentina</t>
  </si>
  <si>
    <t xml:space="preserve">  TOTAL PLANO DE SAÚDE (somar tudo acima)</t>
  </si>
  <si>
    <t>FGTS DEPOSITADO E DEDUÇÕES MENSAIS – 2025</t>
  </si>
  <si>
    <t>Mês</t>
  </si>
  <si>
    <t>FGTS Depositado</t>
  </si>
  <si>
    <t>Bradesco Co-part.</t>
  </si>
  <si>
    <t>Odonto</t>
  </si>
  <si>
    <t>Total Descontos Dedut.</t>
  </si>
  <si>
    <t>TOTAL</t>
  </si>
  <si>
    <t>ℹ️  FGTS: base de cálculo é o salário bruto de competência. Meses com retificações ou licenças médicas podem ter base reduzida. Dez/Férias: FGTS não depositado separado (incluso na provisão).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</si>
</sst>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"/>
  </numFmts>
  <fonts count="17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4E79"/>
      <name val="Arial"/>
      <charset val="1"/>
    </font>
    <font>
      <sz val="10"/>
      <color rgb="FF404040"/>
      <name val="Arial"/>
      <charset val="1"/>
    </font>
    <font>
      <b/>
      <sz val="10"/>
      <color rgb="FF404040"/>
      <name val="Arial"/>
      <charset val="1"/>
    </font>
    <font>
      <b/>
      <sz val="10"/>
      <color rgb="FF375623"/>
      <name val="Arial"/>
      <charset val="1"/>
    </font>
    <font>
      <b/>
      <sz val="10"/>
      <color rgb="FF7B3F00"/>
      <name val="Arial"/>
      <charset val="1"/>
    </font>
    <font>
      <b/>
      <sz val="10"/>
      <color rgb="FF843C0C"/>
      <name val="Arial"/>
      <charset val="1"/>
    </font>
    <font>
      <i/>
      <sz val="9"/>
      <color rgb="FF404040"/>
      <name val="Arial"/>
      <charset val="1"/>
    </font>
    <font>
      <b/>
      <sz val="11"/>
      <color rgb="FFFFFFFF"/>
      <name val="Arial"/>
      <charset val="1"/>
    </font>
    <font>
      <i/>
      <sz val="9"/>
      <color rgb="FF7B3F00"/>
      <name val="Arial"/>
      <charset val="1"/>
    </font>
    <font>
      <b/>
      <sz val="9"/>
      <color rgb="FFFFFFFF"/>
      <name val="Arial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DEEAF1"/>
      </patternFill>
    </fill>
    <fill>
      <patternFill patternType="solid">
        <fgColor rgb="FFF2F8FD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8FD"/>
      </patternFill>
    </fill>
    <fill>
      <patternFill patternType="solid">
        <fgColor rgb="FF375623"/>
        <bgColor rgb="FF404040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64">
    <xf numFmtId="0" fontId="0" fillId="0" borderId="0" xfId="0"/>
    <xf numFmtId="0" fontId="12" fillId="11" borderId="2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0" fillId="2" borderId="0" xfId="0" applyFill="1"/>
    <xf numFmtId="0" fontId="14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right" vertical="center"/>
    </xf>
    <xf numFmtId="0" fontId="0" fillId="6" borderId="1" xfId="0" applyFill="1" applyBorder="1"/>
    <xf numFmtId="0" fontId="6" fillId="0" borderId="1" xfId="0" applyFont="1" applyBorder="1" applyAlignment="1">
      <alignment horizontal="right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right" vertical="center"/>
    </xf>
    <xf numFmtId="164" fontId="5" fillId="10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left" vertical="center" wrapText="1"/>
    </xf>
    <xf numFmtId="43" fontId="1" fillId="0" borderId="1" xfId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3F0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D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843C0C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30" customWidth="1"/>
    <col min="2" max="2" width="14" customWidth="1"/>
    <col min="3" max="3" width="22" customWidth="1"/>
    <col min="4" max="4" width="17" customWidth="1"/>
    <col min="5" max="5" width="14" customWidth="1"/>
    <col min="6" max="6" width="18" customWidth="1"/>
    <col min="7" max="8" width="14" customWidth="1"/>
    <col min="9" max="9" width="12" customWidth="1"/>
    <col min="10" max="10" width="48" customWidth="1"/>
  </cols>
  <sheetData>
    <row r="1" spans="1:10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31.5" customHeight="1" x14ac:dyDescent="0.3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0" x14ac:dyDescent="0.3">
      <c r="A5" s="16" t="s">
        <v>12</v>
      </c>
      <c r="B5" s="17" t="s">
        <v>13</v>
      </c>
      <c r="C5" s="18" t="s">
        <v>14</v>
      </c>
      <c r="D5" s="19">
        <v>9001.08</v>
      </c>
      <c r="E5" s="19">
        <v>1292.81</v>
      </c>
      <c r="F5" s="19">
        <v>7708.27</v>
      </c>
      <c r="G5" s="19">
        <v>611</v>
      </c>
      <c r="H5" s="19">
        <v>466.9</v>
      </c>
      <c r="I5" s="19">
        <v>665.07</v>
      </c>
      <c r="J5" s="20" t="s">
        <v>15</v>
      </c>
    </row>
    <row r="6" spans="1:10" x14ac:dyDescent="0.3">
      <c r="A6" s="21" t="s">
        <v>16</v>
      </c>
      <c r="B6" s="22" t="s">
        <v>17</v>
      </c>
      <c r="C6" s="23" t="s">
        <v>18</v>
      </c>
      <c r="D6" s="24">
        <v>7047.63</v>
      </c>
      <c r="E6" s="24">
        <v>1516.66</v>
      </c>
      <c r="F6" s="24">
        <v>5530.97</v>
      </c>
      <c r="G6" s="24">
        <v>662.18</v>
      </c>
      <c r="H6" s="24">
        <v>623.08000000000004</v>
      </c>
      <c r="I6" s="24">
        <v>487.2</v>
      </c>
      <c r="J6" s="25" t="s">
        <v>19</v>
      </c>
    </row>
    <row r="7" spans="1:10" x14ac:dyDescent="0.3">
      <c r="A7" s="26" t="s">
        <v>20</v>
      </c>
      <c r="B7" s="27" t="s">
        <v>21</v>
      </c>
      <c r="C7" s="28" t="s">
        <v>22</v>
      </c>
      <c r="D7" s="29">
        <v>1594.21</v>
      </c>
      <c r="E7" s="29">
        <v>0</v>
      </c>
      <c r="F7" s="29">
        <v>1594.21</v>
      </c>
      <c r="G7" s="29">
        <v>0</v>
      </c>
      <c r="H7" s="29">
        <v>0</v>
      </c>
      <c r="I7" s="29">
        <v>0</v>
      </c>
      <c r="J7" s="30" t="s">
        <v>23</v>
      </c>
    </row>
    <row r="8" spans="1:10" x14ac:dyDescent="0.3">
      <c r="A8" s="21" t="s">
        <v>24</v>
      </c>
      <c r="B8" s="22" t="s">
        <v>25</v>
      </c>
      <c r="C8" s="23" t="s">
        <v>18</v>
      </c>
      <c r="D8" s="24">
        <v>6466.47</v>
      </c>
      <c r="E8" s="24">
        <v>1504.72</v>
      </c>
      <c r="F8" s="24">
        <v>4961.75</v>
      </c>
      <c r="G8" s="24">
        <v>618.62</v>
      </c>
      <c r="H8" s="24">
        <v>377.21</v>
      </c>
      <c r="I8" s="24">
        <v>462.31</v>
      </c>
      <c r="J8" s="25" t="s">
        <v>26</v>
      </c>
    </row>
    <row r="9" spans="1:10" x14ac:dyDescent="0.3">
      <c r="A9" s="31" t="s">
        <v>27</v>
      </c>
      <c r="B9" s="32" t="s">
        <v>28</v>
      </c>
      <c r="C9" s="33" t="s">
        <v>18</v>
      </c>
      <c r="D9" s="34">
        <v>6624.8</v>
      </c>
      <c r="E9" s="34">
        <v>1422.64</v>
      </c>
      <c r="F9" s="34">
        <v>5202.16</v>
      </c>
      <c r="G9" s="34">
        <v>640.78</v>
      </c>
      <c r="H9" s="34">
        <v>411.34</v>
      </c>
      <c r="I9" s="34">
        <v>474.97</v>
      </c>
      <c r="J9" s="35" t="s">
        <v>29</v>
      </c>
    </row>
    <row r="10" spans="1:10" x14ac:dyDescent="0.3">
      <c r="A10" s="21" t="s">
        <v>30</v>
      </c>
      <c r="B10" s="22" t="s">
        <v>31</v>
      </c>
      <c r="C10" s="23" t="s">
        <v>18</v>
      </c>
      <c r="D10" s="24">
        <v>6470.25</v>
      </c>
      <c r="E10" s="24">
        <v>1242.22</v>
      </c>
      <c r="F10" s="24">
        <v>5228.03</v>
      </c>
      <c r="G10" s="24">
        <v>619.15</v>
      </c>
      <c r="H10" s="24">
        <v>365.2</v>
      </c>
      <c r="I10" s="24">
        <v>462.61</v>
      </c>
      <c r="J10" s="25"/>
    </row>
    <row r="11" spans="1:10" x14ac:dyDescent="0.3">
      <c r="A11" s="36" t="s">
        <v>32</v>
      </c>
      <c r="B11" s="37" t="s">
        <v>33</v>
      </c>
      <c r="C11" s="38" t="s">
        <v>34</v>
      </c>
      <c r="D11" s="39">
        <v>6542.36</v>
      </c>
      <c r="E11" s="39">
        <v>1259.03</v>
      </c>
      <c r="F11" s="39">
        <v>5283.33</v>
      </c>
      <c r="G11" s="39">
        <v>629.24</v>
      </c>
      <c r="H11" s="39">
        <v>379.73</v>
      </c>
      <c r="I11" s="39">
        <v>458.93</v>
      </c>
      <c r="J11" s="40" t="s">
        <v>35</v>
      </c>
    </row>
    <row r="12" spans="1:10" x14ac:dyDescent="0.3">
      <c r="A12" s="26" t="s">
        <v>36</v>
      </c>
      <c r="B12" s="27" t="s">
        <v>37</v>
      </c>
      <c r="C12" s="28" t="s">
        <v>38</v>
      </c>
      <c r="D12" s="29">
        <v>9513.59</v>
      </c>
      <c r="E12" s="29">
        <v>1410.91</v>
      </c>
      <c r="F12" s="29">
        <v>8102.68</v>
      </c>
      <c r="G12" s="29">
        <v>611.48</v>
      </c>
      <c r="H12" s="29">
        <v>354.94</v>
      </c>
      <c r="I12" s="29">
        <v>458.23</v>
      </c>
      <c r="J12" s="30" t="s">
        <v>39</v>
      </c>
    </row>
    <row r="13" spans="1:10" x14ac:dyDescent="0.3">
      <c r="A13" s="36" t="s">
        <v>40</v>
      </c>
      <c r="B13" s="37" t="s">
        <v>41</v>
      </c>
      <c r="C13" s="38" t="s">
        <v>34</v>
      </c>
      <c r="D13" s="39">
        <v>6583.61</v>
      </c>
      <c r="E13" s="39">
        <v>1751.13</v>
      </c>
      <c r="F13" s="39">
        <v>4832.4799999999996</v>
      </c>
      <c r="G13" s="39">
        <v>610.85</v>
      </c>
      <c r="H13" s="39">
        <v>354.1</v>
      </c>
      <c r="I13" s="39">
        <v>457.87</v>
      </c>
      <c r="J13" s="40" t="s">
        <v>42</v>
      </c>
    </row>
    <row r="14" spans="1:10" x14ac:dyDescent="0.3">
      <c r="A14" s="21" t="s">
        <v>43</v>
      </c>
      <c r="B14" s="22" t="s">
        <v>44</v>
      </c>
      <c r="C14" s="23" t="s">
        <v>18</v>
      </c>
      <c r="D14" s="24">
        <v>6561.83</v>
      </c>
      <c r="E14" s="24">
        <v>1559.33</v>
      </c>
      <c r="F14" s="24">
        <v>5002.5</v>
      </c>
      <c r="G14" s="24">
        <v>631.97</v>
      </c>
      <c r="H14" s="24">
        <v>384.19</v>
      </c>
      <c r="I14" s="24">
        <v>469.94</v>
      </c>
      <c r="J14" s="25" t="s">
        <v>45</v>
      </c>
    </row>
    <row r="15" spans="1:10" x14ac:dyDescent="0.3">
      <c r="A15" s="36" t="s">
        <v>46</v>
      </c>
      <c r="B15" s="37" t="s">
        <v>47</v>
      </c>
      <c r="C15" s="38" t="s">
        <v>34</v>
      </c>
      <c r="D15" s="39">
        <v>6687.96</v>
      </c>
      <c r="E15" s="39">
        <v>2550.75</v>
      </c>
      <c r="F15" s="39">
        <v>4137.21</v>
      </c>
      <c r="G15" s="39">
        <v>563.91</v>
      </c>
      <c r="H15" s="39">
        <v>311.92</v>
      </c>
      <c r="I15" s="39">
        <v>431.04</v>
      </c>
      <c r="J15" s="40" t="s">
        <v>48</v>
      </c>
    </row>
    <row r="16" spans="1:10" x14ac:dyDescent="0.3">
      <c r="A16" s="36" t="s">
        <v>49</v>
      </c>
      <c r="B16" s="37" t="s">
        <v>50</v>
      </c>
      <c r="C16" s="38" t="s">
        <v>34</v>
      </c>
      <c r="D16" s="39">
        <v>7907.33</v>
      </c>
      <c r="E16" s="39">
        <v>3560.34</v>
      </c>
      <c r="F16" s="39">
        <v>4346.99</v>
      </c>
      <c r="G16" s="39">
        <v>709.24</v>
      </c>
      <c r="H16" s="39">
        <v>829.31</v>
      </c>
      <c r="I16" s="39">
        <v>514.09</v>
      </c>
      <c r="J16" s="40" t="s">
        <v>51</v>
      </c>
    </row>
    <row r="17" spans="1:10" x14ac:dyDescent="0.3">
      <c r="A17" s="41" t="s">
        <v>52</v>
      </c>
      <c r="B17" s="42" t="s">
        <v>53</v>
      </c>
      <c r="C17" s="43" t="s">
        <v>54</v>
      </c>
      <c r="D17" s="44">
        <v>6946.49</v>
      </c>
      <c r="E17" s="44">
        <v>2413.7399999999998</v>
      </c>
      <c r="F17" s="44">
        <v>4532.75</v>
      </c>
      <c r="G17" s="44">
        <v>782.09</v>
      </c>
      <c r="H17" s="44">
        <v>612</v>
      </c>
      <c r="I17" s="44">
        <v>0</v>
      </c>
      <c r="J17" s="45" t="s">
        <v>55</v>
      </c>
    </row>
    <row r="18" spans="1:10" x14ac:dyDescent="0.3">
      <c r="A18" s="41" t="s">
        <v>56</v>
      </c>
      <c r="B18" s="42" t="s">
        <v>57</v>
      </c>
      <c r="C18" s="43" t="s">
        <v>58</v>
      </c>
      <c r="D18" s="44">
        <v>5291.06</v>
      </c>
      <c r="E18" s="44">
        <v>3558</v>
      </c>
      <c r="F18" s="44">
        <v>1733.06</v>
      </c>
      <c r="G18" s="44">
        <v>550.33000000000004</v>
      </c>
      <c r="H18" s="44">
        <v>273.12</v>
      </c>
      <c r="I18" s="44">
        <v>216.16</v>
      </c>
      <c r="J18" s="45" t="s">
        <v>59</v>
      </c>
    </row>
    <row r="19" spans="1:10" ht="21.75" customHeight="1" x14ac:dyDescent="0.3">
      <c r="A19" s="12" t="s">
        <v>60</v>
      </c>
      <c r="B19" s="12"/>
      <c r="C19" s="12"/>
      <c r="D19" s="46">
        <f t="shared" ref="D19:I19" si="0">SUM(D5:D18)</f>
        <v>93238.670000000013</v>
      </c>
      <c r="E19" s="46">
        <f t="shared" si="0"/>
        <v>25042.28</v>
      </c>
      <c r="F19" s="46">
        <f t="shared" si="0"/>
        <v>68196.39</v>
      </c>
      <c r="G19" s="46">
        <f t="shared" si="0"/>
        <v>8240.840000000002</v>
      </c>
      <c r="H19" s="46">
        <f t="shared" si="0"/>
        <v>5743.04</v>
      </c>
      <c r="I19" s="46">
        <f t="shared" si="0"/>
        <v>5558.42</v>
      </c>
      <c r="J19" s="47"/>
    </row>
    <row r="21" spans="1:10" x14ac:dyDescent="0.3">
      <c r="A21" s="11" t="s">
        <v>61</v>
      </c>
      <c r="B21" s="11"/>
      <c r="C21" s="11"/>
      <c r="D21" s="11"/>
      <c r="E21" s="11"/>
      <c r="F21" s="11"/>
      <c r="G21" s="11"/>
      <c r="H21" s="11"/>
      <c r="I21" s="11"/>
      <c r="J21" s="11"/>
    </row>
  </sheetData>
  <mergeCells count="4">
    <mergeCell ref="A1:J1"/>
    <mergeCell ref="A2:J2"/>
    <mergeCell ref="A19:C19"/>
    <mergeCell ref="A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6"/>
  <sheetViews>
    <sheetView showGridLines="0" topLeftCell="A45" zoomScaleNormal="100" workbookViewId="0">
      <selection sqref="A1:E1"/>
    </sheetView>
  </sheetViews>
  <sheetFormatPr defaultColWidth="8.6640625" defaultRowHeight="14.4" x14ac:dyDescent="0.3"/>
  <cols>
    <col min="1" max="1" width="12" customWidth="1"/>
    <col min="2" max="2" width="46" customWidth="1"/>
    <col min="3" max="4" width="16" customWidth="1"/>
    <col min="5" max="5" width="18" customWidth="1"/>
  </cols>
  <sheetData>
    <row r="1" spans="1:5" ht="21.75" customHeight="1" x14ac:dyDescent="0.3">
      <c r="A1" s="10" t="s">
        <v>62</v>
      </c>
      <c r="B1" s="10"/>
      <c r="C1" s="10"/>
      <c r="D1" s="10"/>
      <c r="E1" s="10"/>
    </row>
    <row r="2" spans="1:5" ht="15.75" customHeight="1" x14ac:dyDescent="0.3">
      <c r="A2" s="9" t="s">
        <v>63</v>
      </c>
      <c r="B2" s="9"/>
      <c r="C2" s="9"/>
      <c r="D2" s="9"/>
      <c r="E2" s="9"/>
    </row>
    <row r="3" spans="1:5" ht="18" customHeight="1" x14ac:dyDescent="0.3">
      <c r="A3" s="48" t="s">
        <v>64</v>
      </c>
      <c r="B3" s="48" t="s">
        <v>65</v>
      </c>
      <c r="C3" s="48" t="s">
        <v>66</v>
      </c>
      <c r="D3" s="48" t="s">
        <v>6</v>
      </c>
      <c r="E3" s="48"/>
    </row>
    <row r="4" spans="1:5" x14ac:dyDescent="0.3">
      <c r="A4" s="32" t="s">
        <v>67</v>
      </c>
      <c r="B4" s="35" t="s">
        <v>68</v>
      </c>
      <c r="C4" s="34">
        <v>5178.1000000000004</v>
      </c>
      <c r="D4" s="49"/>
      <c r="E4" s="50"/>
    </row>
    <row r="5" spans="1:5" x14ac:dyDescent="0.3">
      <c r="A5" s="22" t="s">
        <v>69</v>
      </c>
      <c r="B5" s="25" t="s">
        <v>70</v>
      </c>
      <c r="C5" s="24">
        <v>687.62</v>
      </c>
      <c r="D5" s="51"/>
      <c r="E5" s="52"/>
    </row>
    <row r="6" spans="1:5" x14ac:dyDescent="0.3">
      <c r="A6" s="32" t="s">
        <v>71</v>
      </c>
      <c r="B6" s="35" t="s">
        <v>72</v>
      </c>
      <c r="C6" s="34">
        <v>519</v>
      </c>
      <c r="D6" s="49"/>
      <c r="E6" s="50"/>
    </row>
    <row r="7" spans="1:5" x14ac:dyDescent="0.3">
      <c r="A7" s="22" t="s">
        <v>73</v>
      </c>
      <c r="B7" s="25" t="s">
        <v>74</v>
      </c>
      <c r="C7" s="24">
        <v>2589.0500000000002</v>
      </c>
      <c r="D7" s="51"/>
      <c r="E7" s="52"/>
    </row>
    <row r="8" spans="1:5" x14ac:dyDescent="0.3">
      <c r="A8" s="32" t="s">
        <v>75</v>
      </c>
      <c r="B8" s="35" t="s">
        <v>76</v>
      </c>
      <c r="C8" s="34">
        <v>27.31</v>
      </c>
      <c r="D8" s="49"/>
      <c r="E8" s="50"/>
    </row>
    <row r="9" spans="1:5" x14ac:dyDescent="0.3">
      <c r="A9" s="22" t="s">
        <v>77</v>
      </c>
      <c r="B9" s="25" t="s">
        <v>78</v>
      </c>
      <c r="C9" s="51"/>
      <c r="D9" s="24">
        <v>611</v>
      </c>
      <c r="E9" s="52"/>
    </row>
    <row r="10" spans="1:5" x14ac:dyDescent="0.3">
      <c r="A10" s="32" t="s">
        <v>79</v>
      </c>
      <c r="B10" s="35" t="s">
        <v>80</v>
      </c>
      <c r="C10" s="49"/>
      <c r="D10" s="34">
        <v>466.9</v>
      </c>
      <c r="E10" s="50"/>
    </row>
    <row r="11" spans="1:5" x14ac:dyDescent="0.3">
      <c r="A11" s="22" t="s">
        <v>81</v>
      </c>
      <c r="B11" s="25" t="s">
        <v>82</v>
      </c>
      <c r="C11" s="51"/>
      <c r="D11" s="24">
        <v>1</v>
      </c>
      <c r="E11" s="52"/>
    </row>
    <row r="12" spans="1:5" x14ac:dyDescent="0.3">
      <c r="A12" s="32" t="s">
        <v>83</v>
      </c>
      <c r="B12" s="35" t="s">
        <v>84</v>
      </c>
      <c r="C12" s="49"/>
      <c r="D12" s="34">
        <v>157.41999999999999</v>
      </c>
      <c r="E12" s="50"/>
    </row>
    <row r="13" spans="1:5" x14ac:dyDescent="0.3">
      <c r="A13" s="22" t="s">
        <v>85</v>
      </c>
      <c r="B13" s="25" t="s">
        <v>86</v>
      </c>
      <c r="C13" s="51"/>
      <c r="D13" s="24">
        <v>7.29</v>
      </c>
      <c r="E13" s="52"/>
    </row>
    <row r="14" spans="1:5" x14ac:dyDescent="0.3">
      <c r="A14" s="32" t="s">
        <v>87</v>
      </c>
      <c r="B14" s="35" t="s">
        <v>88</v>
      </c>
      <c r="C14" s="49"/>
      <c r="D14" s="34">
        <v>1</v>
      </c>
      <c r="E14" s="50"/>
    </row>
    <row r="15" spans="1:5" x14ac:dyDescent="0.3">
      <c r="A15" s="22" t="s">
        <v>89</v>
      </c>
      <c r="B15" s="25" t="s">
        <v>90</v>
      </c>
      <c r="C15" s="51"/>
      <c r="D15" s="24">
        <v>48.2</v>
      </c>
      <c r="E15" s="52"/>
    </row>
    <row r="16" spans="1:5" x14ac:dyDescent="0.3">
      <c r="A16" s="8" t="s">
        <v>91</v>
      </c>
      <c r="B16" s="8"/>
      <c r="C16" s="54">
        <v>9001.08</v>
      </c>
      <c r="D16" s="54">
        <v>1292.81</v>
      </c>
      <c r="E16" s="55" t="s">
        <v>92</v>
      </c>
    </row>
    <row r="18" spans="1:5" ht="21.75" customHeight="1" x14ac:dyDescent="0.3">
      <c r="A18" s="10" t="s">
        <v>93</v>
      </c>
      <c r="B18" s="10"/>
      <c r="C18" s="10"/>
      <c r="D18" s="10"/>
      <c r="E18" s="10"/>
    </row>
    <row r="19" spans="1:5" ht="15.75" customHeight="1" x14ac:dyDescent="0.3">
      <c r="A19" s="9" t="s">
        <v>94</v>
      </c>
      <c r="B19" s="9"/>
      <c r="C19" s="9"/>
      <c r="D19" s="9"/>
      <c r="E19" s="9"/>
    </row>
    <row r="20" spans="1:5" ht="18" customHeight="1" x14ac:dyDescent="0.3">
      <c r="A20" s="48" t="s">
        <v>64</v>
      </c>
      <c r="B20" s="48" t="s">
        <v>65</v>
      </c>
      <c r="C20" s="48" t="s">
        <v>66</v>
      </c>
      <c r="D20" s="48" t="s">
        <v>6</v>
      </c>
      <c r="E20" s="48"/>
    </row>
    <row r="21" spans="1:5" x14ac:dyDescent="0.3">
      <c r="A21" s="32" t="s">
        <v>67</v>
      </c>
      <c r="B21" s="35" t="s">
        <v>68</v>
      </c>
      <c r="C21" s="34">
        <v>5178.1000000000004</v>
      </c>
      <c r="D21" s="49"/>
      <c r="E21" s="50"/>
    </row>
    <row r="22" spans="1:5" x14ac:dyDescent="0.3">
      <c r="A22" s="22" t="s">
        <v>69</v>
      </c>
      <c r="B22" s="25" t="s">
        <v>70</v>
      </c>
      <c r="C22" s="24">
        <v>687.62</v>
      </c>
      <c r="D22" s="51"/>
      <c r="E22" s="52"/>
    </row>
    <row r="23" spans="1:5" x14ac:dyDescent="0.3">
      <c r="A23" s="32" t="s">
        <v>71</v>
      </c>
      <c r="B23" s="35" t="s">
        <v>72</v>
      </c>
      <c r="C23" s="34">
        <v>519</v>
      </c>
      <c r="D23" s="49"/>
      <c r="E23" s="50"/>
    </row>
    <row r="24" spans="1:5" x14ac:dyDescent="0.3">
      <c r="A24" s="22" t="s">
        <v>75</v>
      </c>
      <c r="B24" s="25" t="s">
        <v>76</v>
      </c>
      <c r="C24" s="24">
        <v>339.71</v>
      </c>
      <c r="D24" s="51"/>
      <c r="E24" s="52"/>
    </row>
    <row r="25" spans="1:5" x14ac:dyDescent="0.3">
      <c r="A25" s="32" t="s">
        <v>95</v>
      </c>
      <c r="B25" s="35" t="s">
        <v>96</v>
      </c>
      <c r="C25" s="34">
        <v>1.9</v>
      </c>
      <c r="D25" s="49"/>
      <c r="E25" s="50"/>
    </row>
    <row r="26" spans="1:5" x14ac:dyDescent="0.3">
      <c r="A26" s="22" t="s">
        <v>97</v>
      </c>
      <c r="B26" s="25" t="s">
        <v>98</v>
      </c>
      <c r="C26" s="24">
        <v>270</v>
      </c>
      <c r="D26" s="51"/>
      <c r="E26" s="52"/>
    </row>
    <row r="27" spans="1:5" x14ac:dyDescent="0.3">
      <c r="A27" s="32" t="s">
        <v>99</v>
      </c>
      <c r="B27" s="35" t="s">
        <v>100</v>
      </c>
      <c r="C27" s="34">
        <v>41.42</v>
      </c>
      <c r="D27" s="49"/>
      <c r="E27" s="50"/>
    </row>
    <row r="28" spans="1:5" x14ac:dyDescent="0.3">
      <c r="A28" s="22" t="s">
        <v>101</v>
      </c>
      <c r="B28" s="25" t="s">
        <v>102</v>
      </c>
      <c r="C28" s="24">
        <v>9.8800000000000008</v>
      </c>
      <c r="D28" s="51"/>
      <c r="E28" s="52"/>
    </row>
    <row r="29" spans="1:5" x14ac:dyDescent="0.3">
      <c r="A29" s="32" t="s">
        <v>77</v>
      </c>
      <c r="B29" s="35" t="s">
        <v>78</v>
      </c>
      <c r="C29" s="49"/>
      <c r="D29" s="34">
        <v>662.18</v>
      </c>
      <c r="E29" s="50"/>
    </row>
    <row r="30" spans="1:5" x14ac:dyDescent="0.3">
      <c r="A30" s="22" t="s">
        <v>79</v>
      </c>
      <c r="B30" s="25" t="s">
        <v>80</v>
      </c>
      <c r="C30" s="51"/>
      <c r="D30" s="24">
        <v>623.08000000000004</v>
      </c>
      <c r="E30" s="52"/>
    </row>
    <row r="31" spans="1:5" x14ac:dyDescent="0.3">
      <c r="A31" s="32" t="s">
        <v>81</v>
      </c>
      <c r="B31" s="35" t="s">
        <v>82</v>
      </c>
      <c r="C31" s="49"/>
      <c r="D31" s="34">
        <v>1</v>
      </c>
      <c r="E31" s="50"/>
    </row>
    <row r="32" spans="1:5" x14ac:dyDescent="0.3">
      <c r="A32" s="22" t="s">
        <v>83</v>
      </c>
      <c r="B32" s="25" t="s">
        <v>84</v>
      </c>
      <c r="C32" s="51"/>
      <c r="D32" s="24">
        <v>173.91</v>
      </c>
      <c r="E32" s="52"/>
    </row>
    <row r="33" spans="1:5" x14ac:dyDescent="0.3">
      <c r="A33" s="32" t="s">
        <v>85</v>
      </c>
      <c r="B33" s="35" t="s">
        <v>86</v>
      </c>
      <c r="C33" s="49"/>
      <c r="D33" s="34">
        <v>7.29</v>
      </c>
      <c r="E33" s="50"/>
    </row>
    <row r="34" spans="1:5" x14ac:dyDescent="0.3">
      <c r="A34" s="22" t="s">
        <v>87</v>
      </c>
      <c r="B34" s="25" t="s">
        <v>88</v>
      </c>
      <c r="C34" s="51"/>
      <c r="D34" s="24">
        <v>1</v>
      </c>
      <c r="E34" s="52"/>
    </row>
    <row r="35" spans="1:5" x14ac:dyDescent="0.3">
      <c r="A35" s="32" t="s">
        <v>89</v>
      </c>
      <c r="B35" s="35" t="s">
        <v>90</v>
      </c>
      <c r="C35" s="49"/>
      <c r="D35" s="34">
        <v>48.2</v>
      </c>
      <c r="E35" s="50"/>
    </row>
    <row r="36" spans="1:5" x14ac:dyDescent="0.3">
      <c r="A36" s="8" t="s">
        <v>91</v>
      </c>
      <c r="B36" s="8"/>
      <c r="C36" s="54">
        <v>7047.63</v>
      </c>
      <c r="D36" s="54">
        <v>1516.66</v>
      </c>
      <c r="E36" s="55" t="s">
        <v>103</v>
      </c>
    </row>
    <row r="38" spans="1:5" ht="21.75" customHeight="1" x14ac:dyDescent="0.3">
      <c r="A38" s="10" t="s">
        <v>104</v>
      </c>
      <c r="B38" s="10"/>
      <c r="C38" s="10"/>
      <c r="D38" s="10"/>
      <c r="E38" s="10"/>
    </row>
    <row r="39" spans="1:5" ht="15.75" customHeight="1" x14ac:dyDescent="0.3">
      <c r="A39" s="9" t="s">
        <v>105</v>
      </c>
      <c r="B39" s="9"/>
      <c r="C39" s="9"/>
      <c r="D39" s="9"/>
      <c r="E39" s="9"/>
    </row>
    <row r="40" spans="1:5" ht="18" customHeight="1" x14ac:dyDescent="0.3">
      <c r="A40" s="48" t="s">
        <v>64</v>
      </c>
      <c r="B40" s="48" t="s">
        <v>65</v>
      </c>
      <c r="C40" s="48" t="s">
        <v>66</v>
      </c>
      <c r="D40" s="48" t="s">
        <v>6</v>
      </c>
      <c r="E40" s="48"/>
    </row>
    <row r="41" spans="1:5" x14ac:dyDescent="0.3">
      <c r="A41" s="32" t="s">
        <v>106</v>
      </c>
      <c r="B41" s="35" t="s">
        <v>107</v>
      </c>
      <c r="C41" s="34">
        <v>1594.21</v>
      </c>
      <c r="D41" s="49"/>
      <c r="E41" s="50"/>
    </row>
    <row r="42" spans="1:5" x14ac:dyDescent="0.3">
      <c r="A42" s="8" t="s">
        <v>91</v>
      </c>
      <c r="B42" s="8"/>
      <c r="C42" s="54">
        <v>1594.21</v>
      </c>
      <c r="D42" s="54">
        <v>0</v>
      </c>
      <c r="E42" s="55" t="s">
        <v>108</v>
      </c>
    </row>
    <row r="44" spans="1:5" ht="21.75" customHeight="1" x14ac:dyDescent="0.3">
      <c r="A44" s="10" t="s">
        <v>109</v>
      </c>
      <c r="B44" s="10"/>
      <c r="C44" s="10"/>
      <c r="D44" s="10"/>
      <c r="E44" s="10"/>
    </row>
    <row r="45" spans="1:5" ht="15.75" customHeight="1" x14ac:dyDescent="0.3">
      <c r="A45" s="9" t="s">
        <v>110</v>
      </c>
      <c r="B45" s="9"/>
      <c r="C45" s="9"/>
      <c r="D45" s="9"/>
      <c r="E45" s="9"/>
    </row>
    <row r="46" spans="1:5" ht="18" customHeight="1" x14ac:dyDescent="0.3">
      <c r="A46" s="48" t="s">
        <v>64</v>
      </c>
      <c r="B46" s="48" t="s">
        <v>65</v>
      </c>
      <c r="C46" s="48" t="s">
        <v>66</v>
      </c>
      <c r="D46" s="48" t="s">
        <v>6</v>
      </c>
      <c r="E46" s="48"/>
    </row>
    <row r="47" spans="1:5" x14ac:dyDescent="0.3">
      <c r="A47" s="32" t="s">
        <v>67</v>
      </c>
      <c r="B47" s="35" t="s">
        <v>68</v>
      </c>
      <c r="C47" s="34">
        <v>5178.1000000000004</v>
      </c>
      <c r="D47" s="49"/>
      <c r="E47" s="50"/>
    </row>
    <row r="48" spans="1:5" x14ac:dyDescent="0.3">
      <c r="A48" s="22" t="s">
        <v>69</v>
      </c>
      <c r="B48" s="25" t="s">
        <v>70</v>
      </c>
      <c r="C48" s="24">
        <v>687.62</v>
      </c>
      <c r="D48" s="51"/>
      <c r="E48" s="52"/>
    </row>
    <row r="49" spans="1:5" x14ac:dyDescent="0.3">
      <c r="A49" s="32" t="s">
        <v>71</v>
      </c>
      <c r="B49" s="35" t="s">
        <v>72</v>
      </c>
      <c r="C49" s="34">
        <v>519</v>
      </c>
      <c r="D49" s="49"/>
      <c r="E49" s="50"/>
    </row>
    <row r="50" spans="1:5" x14ac:dyDescent="0.3">
      <c r="A50" s="22" t="s">
        <v>75</v>
      </c>
      <c r="B50" s="25" t="s">
        <v>76</v>
      </c>
      <c r="C50" s="24">
        <v>81.75</v>
      </c>
      <c r="D50" s="51"/>
      <c r="E50" s="52"/>
    </row>
    <row r="51" spans="1:5" x14ac:dyDescent="0.3">
      <c r="A51" s="32" t="s">
        <v>77</v>
      </c>
      <c r="B51" s="35" t="s">
        <v>78</v>
      </c>
      <c r="C51" s="49"/>
      <c r="D51" s="34">
        <v>618.62</v>
      </c>
      <c r="E51" s="50"/>
    </row>
    <row r="52" spans="1:5" x14ac:dyDescent="0.3">
      <c r="A52" s="22" t="s">
        <v>79</v>
      </c>
      <c r="B52" s="25" t="s">
        <v>80</v>
      </c>
      <c r="C52" s="51"/>
      <c r="D52" s="24">
        <v>377.21</v>
      </c>
      <c r="E52" s="52"/>
    </row>
    <row r="53" spans="1:5" x14ac:dyDescent="0.3">
      <c r="A53" s="32" t="s">
        <v>81</v>
      </c>
      <c r="B53" s="35" t="s">
        <v>82</v>
      </c>
      <c r="C53" s="49"/>
      <c r="D53" s="34">
        <v>1</v>
      </c>
      <c r="E53" s="50"/>
    </row>
    <row r="54" spans="1:5" x14ac:dyDescent="0.3">
      <c r="A54" s="22" t="s">
        <v>83</v>
      </c>
      <c r="B54" s="25" t="s">
        <v>84</v>
      </c>
      <c r="C54" s="51"/>
      <c r="D54" s="24">
        <v>158.91999999999999</v>
      </c>
      <c r="E54" s="52"/>
    </row>
    <row r="55" spans="1:5" x14ac:dyDescent="0.3">
      <c r="A55" s="32" t="s">
        <v>85</v>
      </c>
      <c r="B55" s="35" t="s">
        <v>86</v>
      </c>
      <c r="C55" s="49"/>
      <c r="D55" s="34">
        <v>7.29</v>
      </c>
      <c r="E55" s="50"/>
    </row>
    <row r="56" spans="1:5" x14ac:dyDescent="0.3">
      <c r="A56" s="22" t="s">
        <v>111</v>
      </c>
      <c r="B56" s="25" t="s">
        <v>112</v>
      </c>
      <c r="C56" s="51"/>
      <c r="D56" s="24">
        <v>292.48</v>
      </c>
      <c r="E56" s="52"/>
    </row>
    <row r="57" spans="1:5" x14ac:dyDescent="0.3">
      <c r="A57" s="32" t="s">
        <v>87</v>
      </c>
      <c r="B57" s="35" t="s">
        <v>88</v>
      </c>
      <c r="C57" s="49"/>
      <c r="D57" s="34">
        <v>1</v>
      </c>
      <c r="E57" s="50"/>
    </row>
    <row r="58" spans="1:5" x14ac:dyDescent="0.3">
      <c r="A58" s="22" t="s">
        <v>89</v>
      </c>
      <c r="B58" s="25" t="s">
        <v>90</v>
      </c>
      <c r="C58" s="51"/>
      <c r="D58" s="24">
        <v>48.2</v>
      </c>
      <c r="E58" s="52"/>
    </row>
    <row r="59" spans="1:5" x14ac:dyDescent="0.3">
      <c r="A59" s="8" t="s">
        <v>91</v>
      </c>
      <c r="B59" s="8"/>
      <c r="C59" s="54">
        <v>6466.47</v>
      </c>
      <c r="D59" s="54">
        <v>1504.72</v>
      </c>
      <c r="E59" s="55" t="s">
        <v>113</v>
      </c>
    </row>
    <row r="61" spans="1:5" ht="21.75" customHeight="1" x14ac:dyDescent="0.3">
      <c r="A61" s="10" t="s">
        <v>114</v>
      </c>
      <c r="B61" s="10"/>
      <c r="C61" s="10"/>
      <c r="D61" s="10"/>
      <c r="E61" s="10"/>
    </row>
    <row r="62" spans="1:5" ht="15.75" customHeight="1" x14ac:dyDescent="0.3">
      <c r="A62" s="9" t="s">
        <v>115</v>
      </c>
      <c r="B62" s="9"/>
      <c r="C62" s="9"/>
      <c r="D62" s="9"/>
      <c r="E62" s="9"/>
    </row>
    <row r="63" spans="1:5" ht="18" customHeight="1" x14ac:dyDescent="0.3">
      <c r="A63" s="48" t="s">
        <v>64</v>
      </c>
      <c r="B63" s="48" t="s">
        <v>65</v>
      </c>
      <c r="C63" s="48" t="s">
        <v>66</v>
      </c>
      <c r="D63" s="48" t="s">
        <v>6</v>
      </c>
      <c r="E63" s="48"/>
    </row>
    <row r="64" spans="1:5" x14ac:dyDescent="0.3">
      <c r="A64" s="32" t="s">
        <v>67</v>
      </c>
      <c r="B64" s="35" t="s">
        <v>68</v>
      </c>
      <c r="C64" s="34">
        <v>5178.1000000000004</v>
      </c>
      <c r="D64" s="49"/>
      <c r="E64" s="50"/>
    </row>
    <row r="65" spans="1:5" x14ac:dyDescent="0.3">
      <c r="A65" s="22" t="s">
        <v>69</v>
      </c>
      <c r="B65" s="25" t="s">
        <v>70</v>
      </c>
      <c r="C65" s="24">
        <v>687.62</v>
      </c>
      <c r="D65" s="51"/>
      <c r="E65" s="52"/>
    </row>
    <row r="66" spans="1:5" x14ac:dyDescent="0.3">
      <c r="A66" s="32" t="s">
        <v>71</v>
      </c>
      <c r="B66" s="35" t="s">
        <v>72</v>
      </c>
      <c r="C66" s="34">
        <v>519</v>
      </c>
      <c r="D66" s="49"/>
      <c r="E66" s="50"/>
    </row>
    <row r="67" spans="1:5" x14ac:dyDescent="0.3">
      <c r="A67" s="22" t="s">
        <v>75</v>
      </c>
      <c r="B67" s="25" t="s">
        <v>76</v>
      </c>
      <c r="C67" s="24">
        <v>188.3</v>
      </c>
      <c r="D67" s="51"/>
      <c r="E67" s="52"/>
    </row>
    <row r="68" spans="1:5" x14ac:dyDescent="0.3">
      <c r="A68" s="32" t="s">
        <v>99</v>
      </c>
      <c r="B68" s="35" t="s">
        <v>100</v>
      </c>
      <c r="C68" s="34">
        <v>51.78</v>
      </c>
      <c r="D68" s="49"/>
      <c r="E68" s="50"/>
    </row>
    <row r="69" spans="1:5" x14ac:dyDescent="0.3">
      <c r="A69" s="22" t="s">
        <v>77</v>
      </c>
      <c r="B69" s="25" t="s">
        <v>78</v>
      </c>
      <c r="C69" s="51"/>
      <c r="D69" s="24">
        <v>640.78</v>
      </c>
      <c r="E69" s="52"/>
    </row>
    <row r="70" spans="1:5" x14ac:dyDescent="0.3">
      <c r="A70" s="32" t="s">
        <v>79</v>
      </c>
      <c r="B70" s="35" t="s">
        <v>80</v>
      </c>
      <c r="C70" s="49"/>
      <c r="D70" s="34">
        <v>411.34</v>
      </c>
      <c r="E70" s="50"/>
    </row>
    <row r="71" spans="1:5" x14ac:dyDescent="0.3">
      <c r="A71" s="22" t="s">
        <v>81</v>
      </c>
      <c r="B71" s="25" t="s">
        <v>82</v>
      </c>
      <c r="C71" s="51"/>
      <c r="D71" s="24">
        <v>1</v>
      </c>
      <c r="E71" s="52"/>
    </row>
    <row r="72" spans="1:5" x14ac:dyDescent="0.3">
      <c r="A72" s="32" t="s">
        <v>83</v>
      </c>
      <c r="B72" s="35" t="s">
        <v>84</v>
      </c>
      <c r="C72" s="49"/>
      <c r="D72" s="34">
        <v>163.27000000000001</v>
      </c>
      <c r="E72" s="50"/>
    </row>
    <row r="73" spans="1:5" x14ac:dyDescent="0.3">
      <c r="A73" s="22" t="s">
        <v>85</v>
      </c>
      <c r="B73" s="25" t="s">
        <v>86</v>
      </c>
      <c r="C73" s="51"/>
      <c r="D73" s="24">
        <v>7.29</v>
      </c>
      <c r="E73" s="52"/>
    </row>
    <row r="74" spans="1:5" x14ac:dyDescent="0.3">
      <c r="A74" s="32" t="s">
        <v>111</v>
      </c>
      <c r="B74" s="35" t="s">
        <v>112</v>
      </c>
      <c r="C74" s="49"/>
      <c r="D74" s="34">
        <v>149.76</v>
      </c>
      <c r="E74" s="50"/>
    </row>
    <row r="75" spans="1:5" x14ac:dyDescent="0.3">
      <c r="A75" s="22" t="s">
        <v>87</v>
      </c>
      <c r="B75" s="25" t="s">
        <v>88</v>
      </c>
      <c r="C75" s="51"/>
      <c r="D75" s="24">
        <v>1</v>
      </c>
      <c r="E75" s="52"/>
    </row>
    <row r="76" spans="1:5" x14ac:dyDescent="0.3">
      <c r="A76" s="32" t="s">
        <v>89</v>
      </c>
      <c r="B76" s="35" t="s">
        <v>90</v>
      </c>
      <c r="C76" s="49"/>
      <c r="D76" s="34">
        <v>48.2</v>
      </c>
      <c r="E76" s="50"/>
    </row>
    <row r="77" spans="1:5" x14ac:dyDescent="0.3">
      <c r="A77" s="8" t="s">
        <v>91</v>
      </c>
      <c r="B77" s="8"/>
      <c r="C77" s="54">
        <v>6624.8</v>
      </c>
      <c r="D77" s="54">
        <v>1422.64</v>
      </c>
      <c r="E77" s="55" t="s">
        <v>116</v>
      </c>
    </row>
    <row r="79" spans="1:5" ht="21.75" customHeight="1" x14ac:dyDescent="0.3">
      <c r="A79" s="10" t="s">
        <v>117</v>
      </c>
      <c r="B79" s="10"/>
      <c r="C79" s="10"/>
      <c r="D79" s="10"/>
      <c r="E79" s="10"/>
    </row>
    <row r="80" spans="1:5" ht="18" customHeight="1" x14ac:dyDescent="0.3">
      <c r="A80" s="48" t="s">
        <v>64</v>
      </c>
      <c r="B80" s="48" t="s">
        <v>65</v>
      </c>
      <c r="C80" s="48" t="s">
        <v>66</v>
      </c>
      <c r="D80" s="48" t="s">
        <v>6</v>
      </c>
      <c r="E80" s="48"/>
    </row>
    <row r="81" spans="1:5" x14ac:dyDescent="0.3">
      <c r="A81" s="32" t="s">
        <v>67</v>
      </c>
      <c r="B81" s="35" t="s">
        <v>68</v>
      </c>
      <c r="C81" s="34">
        <v>5178.1000000000004</v>
      </c>
      <c r="D81" s="49"/>
      <c r="E81" s="50"/>
    </row>
    <row r="82" spans="1:5" x14ac:dyDescent="0.3">
      <c r="A82" s="22" t="s">
        <v>69</v>
      </c>
      <c r="B82" s="25" t="s">
        <v>70</v>
      </c>
      <c r="C82" s="24">
        <v>687.62</v>
      </c>
      <c r="D82" s="51"/>
      <c r="E82" s="52"/>
    </row>
    <row r="83" spans="1:5" x14ac:dyDescent="0.3">
      <c r="A83" s="32" t="s">
        <v>71</v>
      </c>
      <c r="B83" s="35" t="s">
        <v>72</v>
      </c>
      <c r="C83" s="34">
        <v>519</v>
      </c>
      <c r="D83" s="49"/>
      <c r="E83" s="50"/>
    </row>
    <row r="84" spans="1:5" x14ac:dyDescent="0.3">
      <c r="A84" s="22" t="s">
        <v>75</v>
      </c>
      <c r="B84" s="25" t="s">
        <v>76</v>
      </c>
      <c r="C84" s="24">
        <v>85.53</v>
      </c>
      <c r="D84" s="51"/>
      <c r="E84" s="52"/>
    </row>
    <row r="85" spans="1:5" x14ac:dyDescent="0.3">
      <c r="A85" s="32" t="s">
        <v>77</v>
      </c>
      <c r="B85" s="35" t="s">
        <v>78</v>
      </c>
      <c r="C85" s="49"/>
      <c r="D85" s="34">
        <v>619.15</v>
      </c>
      <c r="E85" s="50"/>
    </row>
    <row r="86" spans="1:5" x14ac:dyDescent="0.3">
      <c r="A86" s="22" t="s">
        <v>79</v>
      </c>
      <c r="B86" s="25" t="s">
        <v>80</v>
      </c>
      <c r="C86" s="51"/>
      <c r="D86" s="24">
        <v>365.2</v>
      </c>
      <c r="E86" s="52"/>
    </row>
    <row r="87" spans="1:5" x14ac:dyDescent="0.3">
      <c r="A87" s="32" t="s">
        <v>81</v>
      </c>
      <c r="B87" s="35" t="s">
        <v>82</v>
      </c>
      <c r="C87" s="49"/>
      <c r="D87" s="34">
        <v>1</v>
      </c>
      <c r="E87" s="50"/>
    </row>
    <row r="88" spans="1:5" x14ac:dyDescent="0.3">
      <c r="A88" s="22" t="s">
        <v>83</v>
      </c>
      <c r="B88" s="25" t="s">
        <v>84</v>
      </c>
      <c r="C88" s="51"/>
      <c r="D88" s="24">
        <v>159.02000000000001</v>
      </c>
      <c r="E88" s="52"/>
    </row>
    <row r="89" spans="1:5" x14ac:dyDescent="0.3">
      <c r="A89" s="32" t="s">
        <v>85</v>
      </c>
      <c r="B89" s="35" t="s">
        <v>86</v>
      </c>
      <c r="C89" s="49"/>
      <c r="D89" s="34">
        <v>7.29</v>
      </c>
      <c r="E89" s="50"/>
    </row>
    <row r="90" spans="1:5" x14ac:dyDescent="0.3">
      <c r="A90" s="22" t="s">
        <v>111</v>
      </c>
      <c r="B90" s="25" t="s">
        <v>112</v>
      </c>
      <c r="C90" s="51"/>
      <c r="D90" s="24">
        <v>41.36</v>
      </c>
      <c r="E90" s="52"/>
    </row>
    <row r="91" spans="1:5" x14ac:dyDescent="0.3">
      <c r="A91" s="32" t="s">
        <v>87</v>
      </c>
      <c r="B91" s="35" t="s">
        <v>88</v>
      </c>
      <c r="C91" s="49"/>
      <c r="D91" s="34">
        <v>1</v>
      </c>
      <c r="E91" s="50"/>
    </row>
    <row r="92" spans="1:5" x14ac:dyDescent="0.3">
      <c r="A92" s="22" t="s">
        <v>89</v>
      </c>
      <c r="B92" s="25" t="s">
        <v>90</v>
      </c>
      <c r="C92" s="51"/>
      <c r="D92" s="24">
        <v>48.2</v>
      </c>
      <c r="E92" s="52"/>
    </row>
    <row r="93" spans="1:5" x14ac:dyDescent="0.3">
      <c r="A93" s="8" t="s">
        <v>91</v>
      </c>
      <c r="B93" s="8"/>
      <c r="C93" s="54">
        <v>6470.25</v>
      </c>
      <c r="D93" s="54">
        <v>1242.22</v>
      </c>
      <c r="E93" s="55" t="s">
        <v>118</v>
      </c>
    </row>
    <row r="95" spans="1:5" ht="21.75" customHeight="1" x14ac:dyDescent="0.3">
      <c r="A95" s="10" t="s">
        <v>119</v>
      </c>
      <c r="B95" s="10"/>
      <c r="C95" s="10"/>
      <c r="D95" s="10"/>
      <c r="E95" s="10"/>
    </row>
    <row r="96" spans="1:5" ht="15.75" customHeight="1" x14ac:dyDescent="0.3">
      <c r="A96" s="9" t="s">
        <v>120</v>
      </c>
      <c r="B96" s="9"/>
      <c r="C96" s="9"/>
      <c r="D96" s="9"/>
      <c r="E96" s="9"/>
    </row>
    <row r="97" spans="1:5" ht="18" customHeight="1" x14ac:dyDescent="0.3">
      <c r="A97" s="48" t="s">
        <v>64</v>
      </c>
      <c r="B97" s="48" t="s">
        <v>65</v>
      </c>
      <c r="C97" s="48" t="s">
        <v>66</v>
      </c>
      <c r="D97" s="48" t="s">
        <v>6</v>
      </c>
      <c r="E97" s="48"/>
    </row>
    <row r="98" spans="1:5" x14ac:dyDescent="0.3">
      <c r="A98" s="32" t="s">
        <v>67</v>
      </c>
      <c r="B98" s="35" t="s">
        <v>68</v>
      </c>
      <c r="C98" s="34">
        <v>5178.1000000000004</v>
      </c>
      <c r="D98" s="49"/>
      <c r="E98" s="50"/>
    </row>
    <row r="99" spans="1:5" x14ac:dyDescent="0.3">
      <c r="A99" s="22" t="s">
        <v>69</v>
      </c>
      <c r="B99" s="25" t="s">
        <v>70</v>
      </c>
      <c r="C99" s="24">
        <v>687.62</v>
      </c>
      <c r="D99" s="51"/>
      <c r="E99" s="52"/>
    </row>
    <row r="100" spans="1:5" x14ac:dyDescent="0.3">
      <c r="A100" s="32" t="s">
        <v>71</v>
      </c>
      <c r="B100" s="35" t="s">
        <v>72</v>
      </c>
      <c r="C100" s="34">
        <v>519</v>
      </c>
      <c r="D100" s="49"/>
      <c r="E100" s="50"/>
    </row>
    <row r="101" spans="1:5" x14ac:dyDescent="0.3">
      <c r="A101" s="22" t="s">
        <v>75</v>
      </c>
      <c r="B101" s="25" t="s">
        <v>121</v>
      </c>
      <c r="C101" s="24">
        <v>66.349999999999994</v>
      </c>
      <c r="D101" s="51"/>
      <c r="E101" s="52"/>
    </row>
    <row r="102" spans="1:5" x14ac:dyDescent="0.3">
      <c r="A102" s="32" t="s">
        <v>75</v>
      </c>
      <c r="B102" s="35" t="s">
        <v>76</v>
      </c>
      <c r="C102" s="34">
        <v>39.51</v>
      </c>
      <c r="D102" s="49"/>
      <c r="E102" s="50"/>
    </row>
    <row r="103" spans="1:5" x14ac:dyDescent="0.3">
      <c r="A103" s="22" t="s">
        <v>99</v>
      </c>
      <c r="B103" s="25" t="s">
        <v>122</v>
      </c>
      <c r="C103" s="24">
        <v>51.78</v>
      </c>
      <c r="D103" s="51"/>
      <c r="E103" s="52"/>
    </row>
    <row r="104" spans="1:5" x14ac:dyDescent="0.3">
      <c r="A104" s="32" t="s">
        <v>77</v>
      </c>
      <c r="B104" s="35" t="s">
        <v>123</v>
      </c>
      <c r="C104" s="49"/>
      <c r="D104" s="34">
        <v>16.54</v>
      </c>
      <c r="E104" s="50"/>
    </row>
    <row r="105" spans="1:5" x14ac:dyDescent="0.3">
      <c r="A105" s="22" t="s">
        <v>77</v>
      </c>
      <c r="B105" s="25" t="s">
        <v>78</v>
      </c>
      <c r="C105" s="51"/>
      <c r="D105" s="24">
        <v>612.70000000000005</v>
      </c>
      <c r="E105" s="52"/>
    </row>
    <row r="106" spans="1:5" x14ac:dyDescent="0.3">
      <c r="A106" s="32" t="s">
        <v>79</v>
      </c>
      <c r="B106" s="35" t="s">
        <v>80</v>
      </c>
      <c r="C106" s="49"/>
      <c r="D106" s="34">
        <v>379.73</v>
      </c>
      <c r="E106" s="50"/>
    </row>
    <row r="107" spans="1:5" x14ac:dyDescent="0.3">
      <c r="A107" s="22" t="s">
        <v>81</v>
      </c>
      <c r="B107" s="25" t="s">
        <v>82</v>
      </c>
      <c r="C107" s="51"/>
      <c r="D107" s="24">
        <v>1</v>
      </c>
      <c r="E107" s="52"/>
    </row>
    <row r="108" spans="1:5" x14ac:dyDescent="0.3">
      <c r="A108" s="32" t="s">
        <v>83</v>
      </c>
      <c r="B108" s="35" t="s">
        <v>124</v>
      </c>
      <c r="C108" s="49"/>
      <c r="D108" s="34">
        <v>3.25</v>
      </c>
      <c r="E108" s="50"/>
    </row>
    <row r="109" spans="1:5" x14ac:dyDescent="0.3">
      <c r="A109" s="22" t="s">
        <v>83</v>
      </c>
      <c r="B109" s="25" t="s">
        <v>84</v>
      </c>
      <c r="C109" s="51"/>
      <c r="D109" s="24">
        <v>157.76</v>
      </c>
      <c r="E109" s="52"/>
    </row>
    <row r="110" spans="1:5" x14ac:dyDescent="0.3">
      <c r="A110" s="32" t="s">
        <v>85</v>
      </c>
      <c r="B110" s="35" t="s">
        <v>86</v>
      </c>
      <c r="C110" s="49"/>
      <c r="D110" s="34">
        <v>7.29</v>
      </c>
      <c r="E110" s="50"/>
    </row>
    <row r="111" spans="1:5" x14ac:dyDescent="0.3">
      <c r="A111" s="22" t="s">
        <v>111</v>
      </c>
      <c r="B111" s="25" t="s">
        <v>112</v>
      </c>
      <c r="C111" s="51"/>
      <c r="D111" s="24">
        <v>31.56</v>
      </c>
      <c r="E111" s="52"/>
    </row>
    <row r="112" spans="1:5" x14ac:dyDescent="0.3">
      <c r="A112" s="32" t="s">
        <v>87</v>
      </c>
      <c r="B112" s="35" t="s">
        <v>88</v>
      </c>
      <c r="C112" s="49"/>
      <c r="D112" s="34">
        <v>1</v>
      </c>
      <c r="E112" s="50"/>
    </row>
    <row r="113" spans="1:5" x14ac:dyDescent="0.3">
      <c r="A113" s="22" t="s">
        <v>89</v>
      </c>
      <c r="B113" s="25" t="s">
        <v>90</v>
      </c>
      <c r="C113" s="51"/>
      <c r="D113" s="24">
        <v>48.2</v>
      </c>
      <c r="E113" s="52"/>
    </row>
    <row r="114" spans="1:5" x14ac:dyDescent="0.3">
      <c r="A114" s="8" t="s">
        <v>91</v>
      </c>
      <c r="B114" s="8"/>
      <c r="C114" s="54">
        <v>6542.36</v>
      </c>
      <c r="D114" s="54">
        <v>1259.03</v>
      </c>
      <c r="E114" s="55" t="s">
        <v>125</v>
      </c>
    </row>
    <row r="116" spans="1:5" ht="21.75" customHeight="1" x14ac:dyDescent="0.3">
      <c r="A116" s="10" t="s">
        <v>126</v>
      </c>
      <c r="B116" s="10"/>
      <c r="C116" s="10"/>
      <c r="D116" s="10"/>
      <c r="E116" s="10"/>
    </row>
    <row r="117" spans="1:5" ht="15.75" customHeight="1" x14ac:dyDescent="0.3">
      <c r="A117" s="9" t="s">
        <v>127</v>
      </c>
      <c r="B117" s="9"/>
      <c r="C117" s="9"/>
      <c r="D117" s="9"/>
      <c r="E117" s="9"/>
    </row>
    <row r="118" spans="1:5" ht="18" customHeight="1" x14ac:dyDescent="0.3">
      <c r="A118" s="48" t="s">
        <v>64</v>
      </c>
      <c r="B118" s="48" t="s">
        <v>65</v>
      </c>
      <c r="C118" s="48" t="s">
        <v>66</v>
      </c>
      <c r="D118" s="48" t="s">
        <v>6</v>
      </c>
      <c r="E118" s="48"/>
    </row>
    <row r="119" spans="1:5" x14ac:dyDescent="0.3">
      <c r="A119" s="32" t="s">
        <v>67</v>
      </c>
      <c r="B119" s="35" t="s">
        <v>68</v>
      </c>
      <c r="C119" s="34">
        <v>5178.1000000000004</v>
      </c>
      <c r="D119" s="49"/>
      <c r="E119" s="50"/>
    </row>
    <row r="120" spans="1:5" x14ac:dyDescent="0.3">
      <c r="A120" s="22" t="s">
        <v>69</v>
      </c>
      <c r="B120" s="25" t="s">
        <v>70</v>
      </c>
      <c r="C120" s="24">
        <v>687.62</v>
      </c>
      <c r="D120" s="51"/>
      <c r="E120" s="52"/>
    </row>
    <row r="121" spans="1:5" x14ac:dyDescent="0.3">
      <c r="A121" s="32" t="s">
        <v>71</v>
      </c>
      <c r="B121" s="35" t="s">
        <v>72</v>
      </c>
      <c r="C121" s="34">
        <v>519</v>
      </c>
      <c r="D121" s="49"/>
      <c r="E121" s="50"/>
    </row>
    <row r="122" spans="1:5" x14ac:dyDescent="0.3">
      <c r="A122" s="22" t="s">
        <v>75</v>
      </c>
      <c r="B122" s="25" t="s">
        <v>76</v>
      </c>
      <c r="C122" s="24">
        <v>30.78</v>
      </c>
      <c r="D122" s="51"/>
      <c r="E122" s="52"/>
    </row>
    <row r="123" spans="1:5" x14ac:dyDescent="0.3">
      <c r="A123" s="32" t="s">
        <v>128</v>
      </c>
      <c r="B123" s="35" t="s">
        <v>129</v>
      </c>
      <c r="C123" s="34">
        <v>3098.09</v>
      </c>
      <c r="D123" s="49"/>
      <c r="E123" s="50"/>
    </row>
    <row r="124" spans="1:5" x14ac:dyDescent="0.3">
      <c r="A124" s="22" t="s">
        <v>77</v>
      </c>
      <c r="B124" s="25" t="s">
        <v>78</v>
      </c>
      <c r="C124" s="51"/>
      <c r="D124" s="24">
        <v>611.48</v>
      </c>
      <c r="E124" s="52"/>
    </row>
    <row r="125" spans="1:5" x14ac:dyDescent="0.3">
      <c r="A125" s="32" t="s">
        <v>79</v>
      </c>
      <c r="B125" s="35" t="s">
        <v>80</v>
      </c>
      <c r="C125" s="49"/>
      <c r="D125" s="34">
        <v>354.94</v>
      </c>
      <c r="E125" s="50"/>
    </row>
    <row r="126" spans="1:5" x14ac:dyDescent="0.3">
      <c r="A126" s="22" t="s">
        <v>81</v>
      </c>
      <c r="B126" s="25" t="s">
        <v>82</v>
      </c>
      <c r="C126" s="51"/>
      <c r="D126" s="24">
        <v>1</v>
      </c>
      <c r="E126" s="52"/>
    </row>
    <row r="127" spans="1:5" x14ac:dyDescent="0.3">
      <c r="A127" s="32" t="s">
        <v>83</v>
      </c>
      <c r="B127" s="35" t="s">
        <v>84</v>
      </c>
      <c r="C127" s="49"/>
      <c r="D127" s="34">
        <v>157.52000000000001</v>
      </c>
      <c r="E127" s="50"/>
    </row>
    <row r="128" spans="1:5" x14ac:dyDescent="0.3">
      <c r="A128" s="22" t="s">
        <v>85</v>
      </c>
      <c r="B128" s="25" t="s">
        <v>86</v>
      </c>
      <c r="C128" s="51"/>
      <c r="D128" s="24">
        <v>7.29</v>
      </c>
      <c r="E128" s="52"/>
    </row>
    <row r="129" spans="1:5" x14ac:dyDescent="0.3">
      <c r="A129" s="32" t="s">
        <v>111</v>
      </c>
      <c r="B129" s="35" t="s">
        <v>112</v>
      </c>
      <c r="C129" s="49"/>
      <c r="D129" s="34">
        <v>233.76</v>
      </c>
      <c r="E129" s="50"/>
    </row>
    <row r="130" spans="1:5" x14ac:dyDescent="0.3">
      <c r="A130" s="22" t="s">
        <v>87</v>
      </c>
      <c r="B130" s="25" t="s">
        <v>88</v>
      </c>
      <c r="C130" s="51"/>
      <c r="D130" s="24">
        <v>1</v>
      </c>
      <c r="E130" s="52"/>
    </row>
    <row r="131" spans="1:5" x14ac:dyDescent="0.3">
      <c r="A131" s="32" t="s">
        <v>89</v>
      </c>
      <c r="B131" s="35" t="s">
        <v>90</v>
      </c>
      <c r="C131" s="49"/>
      <c r="D131" s="34">
        <v>43.92</v>
      </c>
      <c r="E131" s="50"/>
    </row>
    <row r="132" spans="1:5" x14ac:dyDescent="0.3">
      <c r="A132" s="8" t="s">
        <v>91</v>
      </c>
      <c r="B132" s="8"/>
      <c r="C132" s="54">
        <v>9513.59</v>
      </c>
      <c r="D132" s="54">
        <v>1410.91</v>
      </c>
      <c r="E132" s="55" t="s">
        <v>130</v>
      </c>
    </row>
    <row r="134" spans="1:5" ht="21.75" customHeight="1" x14ac:dyDescent="0.3">
      <c r="A134" s="10" t="s">
        <v>131</v>
      </c>
      <c r="B134" s="10"/>
      <c r="C134" s="10"/>
      <c r="D134" s="10"/>
      <c r="E134" s="10"/>
    </row>
    <row r="135" spans="1:5" ht="15.75" customHeight="1" x14ac:dyDescent="0.3">
      <c r="A135" s="9" t="s">
        <v>132</v>
      </c>
      <c r="B135" s="9"/>
      <c r="C135" s="9"/>
      <c r="D135" s="9"/>
      <c r="E135" s="9"/>
    </row>
    <row r="136" spans="1:5" ht="18" customHeight="1" x14ac:dyDescent="0.3">
      <c r="A136" s="48" t="s">
        <v>64</v>
      </c>
      <c r="B136" s="48" t="s">
        <v>65</v>
      </c>
      <c r="C136" s="48" t="s">
        <v>66</v>
      </c>
      <c r="D136" s="48" t="s">
        <v>6</v>
      </c>
      <c r="E136" s="48"/>
    </row>
    <row r="137" spans="1:5" x14ac:dyDescent="0.3">
      <c r="A137" s="32" t="s">
        <v>67</v>
      </c>
      <c r="B137" s="35" t="s">
        <v>133</v>
      </c>
      <c r="C137" s="49"/>
      <c r="D137" s="34">
        <v>172.6</v>
      </c>
      <c r="E137" s="50"/>
    </row>
    <row r="138" spans="1:5" x14ac:dyDescent="0.3">
      <c r="A138" s="22" t="s">
        <v>67</v>
      </c>
      <c r="B138" s="25" t="s">
        <v>68</v>
      </c>
      <c r="C138" s="24">
        <v>5178.1000000000004</v>
      </c>
      <c r="D138" s="51"/>
      <c r="E138" s="52"/>
    </row>
    <row r="139" spans="1:5" x14ac:dyDescent="0.3">
      <c r="A139" s="32" t="s">
        <v>69</v>
      </c>
      <c r="B139" s="35" t="s">
        <v>70</v>
      </c>
      <c r="C139" s="34">
        <v>687.62</v>
      </c>
      <c r="D139" s="49"/>
      <c r="E139" s="50"/>
    </row>
    <row r="140" spans="1:5" x14ac:dyDescent="0.3">
      <c r="A140" s="22" t="s">
        <v>71</v>
      </c>
      <c r="B140" s="25" t="s">
        <v>72</v>
      </c>
      <c r="C140" s="24">
        <v>519</v>
      </c>
      <c r="D140" s="51"/>
      <c r="E140" s="52"/>
    </row>
    <row r="141" spans="1:5" x14ac:dyDescent="0.3">
      <c r="A141" s="32" t="s">
        <v>75</v>
      </c>
      <c r="B141" s="35" t="s">
        <v>76</v>
      </c>
      <c r="C141" s="34">
        <v>26.29</v>
      </c>
      <c r="D141" s="49"/>
      <c r="E141" s="50"/>
    </row>
    <row r="142" spans="1:5" x14ac:dyDescent="0.3">
      <c r="A142" s="22" t="s">
        <v>134</v>
      </c>
      <c r="B142" s="25" t="s">
        <v>135</v>
      </c>
      <c r="C142" s="24">
        <v>172.6</v>
      </c>
      <c r="D142" s="51"/>
      <c r="E142" s="52"/>
    </row>
    <row r="143" spans="1:5" x14ac:dyDescent="0.3">
      <c r="A143" s="32" t="s">
        <v>77</v>
      </c>
      <c r="B143" s="35" t="s">
        <v>78</v>
      </c>
      <c r="C143" s="49"/>
      <c r="D143" s="34">
        <v>610.85</v>
      </c>
      <c r="E143" s="50"/>
    </row>
    <row r="144" spans="1:5" x14ac:dyDescent="0.3">
      <c r="A144" s="22" t="s">
        <v>79</v>
      </c>
      <c r="B144" s="25" t="s">
        <v>80</v>
      </c>
      <c r="C144" s="51"/>
      <c r="D144" s="24">
        <v>354.1</v>
      </c>
      <c r="E144" s="52"/>
    </row>
    <row r="145" spans="1:5" x14ac:dyDescent="0.3">
      <c r="A145" s="32" t="s">
        <v>81</v>
      </c>
      <c r="B145" s="35" t="s">
        <v>82</v>
      </c>
      <c r="C145" s="49"/>
      <c r="D145" s="34">
        <v>1</v>
      </c>
      <c r="E145" s="50"/>
    </row>
    <row r="146" spans="1:5" x14ac:dyDescent="0.3">
      <c r="A146" s="22" t="s">
        <v>83</v>
      </c>
      <c r="B146" s="25" t="s">
        <v>84</v>
      </c>
      <c r="C146" s="51"/>
      <c r="D146" s="24">
        <v>157.38999999999999</v>
      </c>
      <c r="E146" s="52"/>
    </row>
    <row r="147" spans="1:5" x14ac:dyDescent="0.3">
      <c r="A147" s="32" t="s">
        <v>85</v>
      </c>
      <c r="B147" s="35" t="s">
        <v>86</v>
      </c>
      <c r="C147" s="49"/>
      <c r="D147" s="34">
        <v>7.29</v>
      </c>
      <c r="E147" s="50"/>
    </row>
    <row r="148" spans="1:5" x14ac:dyDescent="0.3">
      <c r="A148" s="22" t="s">
        <v>111</v>
      </c>
      <c r="B148" s="25" t="s">
        <v>112</v>
      </c>
      <c r="C148" s="51"/>
      <c r="D148" s="24">
        <v>402.98</v>
      </c>
      <c r="E148" s="52"/>
    </row>
    <row r="149" spans="1:5" x14ac:dyDescent="0.3">
      <c r="A149" s="32" t="s">
        <v>87</v>
      </c>
      <c r="B149" s="35" t="s">
        <v>88</v>
      </c>
      <c r="C149" s="49"/>
      <c r="D149" s="34">
        <v>1</v>
      </c>
      <c r="E149" s="50"/>
    </row>
    <row r="150" spans="1:5" x14ac:dyDescent="0.3">
      <c r="A150" s="22" t="s">
        <v>89</v>
      </c>
      <c r="B150" s="25" t="s">
        <v>90</v>
      </c>
      <c r="C150" s="51"/>
      <c r="D150" s="24">
        <v>43.92</v>
      </c>
      <c r="E150" s="52"/>
    </row>
    <row r="151" spans="1:5" x14ac:dyDescent="0.3">
      <c r="A151" s="8" t="s">
        <v>91</v>
      </c>
      <c r="B151" s="8"/>
      <c r="C151" s="54">
        <v>6583.61</v>
      </c>
      <c r="D151" s="54">
        <v>1751.13</v>
      </c>
      <c r="E151" s="55" t="s">
        <v>136</v>
      </c>
    </row>
    <row r="153" spans="1:5" ht="21.75" customHeight="1" x14ac:dyDescent="0.3">
      <c r="A153" s="10" t="s">
        <v>137</v>
      </c>
      <c r="B153" s="10"/>
      <c r="C153" s="10"/>
      <c r="D153" s="10"/>
      <c r="E153" s="10"/>
    </row>
    <row r="154" spans="1:5" ht="15.75" customHeight="1" x14ac:dyDescent="0.3">
      <c r="A154" s="9" t="s">
        <v>138</v>
      </c>
      <c r="B154" s="9"/>
      <c r="C154" s="9"/>
      <c r="D154" s="9"/>
      <c r="E154" s="9"/>
    </row>
    <row r="155" spans="1:5" ht="18" customHeight="1" x14ac:dyDescent="0.3">
      <c r="A155" s="48" t="s">
        <v>64</v>
      </c>
      <c r="B155" s="48" t="s">
        <v>65</v>
      </c>
      <c r="C155" s="48" t="s">
        <v>66</v>
      </c>
      <c r="D155" s="48" t="s">
        <v>6</v>
      </c>
      <c r="E155" s="48"/>
    </row>
    <row r="156" spans="1:5" x14ac:dyDescent="0.3">
      <c r="A156" s="32" t="s">
        <v>67</v>
      </c>
      <c r="B156" s="35" t="s">
        <v>68</v>
      </c>
      <c r="C156" s="34">
        <v>5178.1000000000004</v>
      </c>
      <c r="D156" s="49"/>
      <c r="E156" s="50"/>
    </row>
    <row r="157" spans="1:5" x14ac:dyDescent="0.3">
      <c r="A157" s="22" t="s">
        <v>69</v>
      </c>
      <c r="B157" s="25" t="s">
        <v>70</v>
      </c>
      <c r="C157" s="24">
        <v>687.62</v>
      </c>
      <c r="D157" s="51"/>
      <c r="E157" s="52"/>
    </row>
    <row r="158" spans="1:5" x14ac:dyDescent="0.3">
      <c r="A158" s="32" t="s">
        <v>71</v>
      </c>
      <c r="B158" s="35" t="s">
        <v>72</v>
      </c>
      <c r="C158" s="34">
        <v>519</v>
      </c>
      <c r="D158" s="49"/>
      <c r="E158" s="50"/>
    </row>
    <row r="159" spans="1:5" x14ac:dyDescent="0.3">
      <c r="A159" s="22" t="s">
        <v>75</v>
      </c>
      <c r="B159" s="25" t="s">
        <v>76</v>
      </c>
      <c r="C159" s="24">
        <v>81.93</v>
      </c>
      <c r="D159" s="51"/>
      <c r="E159" s="52"/>
    </row>
    <row r="160" spans="1:5" x14ac:dyDescent="0.3">
      <c r="A160" s="32" t="s">
        <v>95</v>
      </c>
      <c r="B160" s="35" t="s">
        <v>96</v>
      </c>
      <c r="C160" s="34">
        <v>0.56999999999999995</v>
      </c>
      <c r="D160" s="49"/>
      <c r="E160" s="50"/>
    </row>
    <row r="161" spans="1:5" x14ac:dyDescent="0.3">
      <c r="A161" s="22" t="s">
        <v>99</v>
      </c>
      <c r="B161" s="25" t="s">
        <v>100</v>
      </c>
      <c r="C161" s="24">
        <v>91.65</v>
      </c>
      <c r="D161" s="51"/>
      <c r="E161" s="52"/>
    </row>
    <row r="162" spans="1:5" x14ac:dyDescent="0.3">
      <c r="A162" s="32" t="s">
        <v>101</v>
      </c>
      <c r="B162" s="35" t="s">
        <v>102</v>
      </c>
      <c r="C162" s="34">
        <v>2.96</v>
      </c>
      <c r="D162" s="49"/>
      <c r="E162" s="50"/>
    </row>
    <row r="163" spans="1:5" x14ac:dyDescent="0.3">
      <c r="A163" s="22" t="s">
        <v>77</v>
      </c>
      <c r="B163" s="25" t="s">
        <v>78</v>
      </c>
      <c r="C163" s="51"/>
      <c r="D163" s="24">
        <v>631.97</v>
      </c>
      <c r="E163" s="52"/>
    </row>
    <row r="164" spans="1:5" x14ac:dyDescent="0.3">
      <c r="A164" s="32" t="s">
        <v>79</v>
      </c>
      <c r="B164" s="35" t="s">
        <v>80</v>
      </c>
      <c r="C164" s="49"/>
      <c r="D164" s="34">
        <v>384.19</v>
      </c>
      <c r="E164" s="50"/>
    </row>
    <row r="165" spans="1:5" x14ac:dyDescent="0.3">
      <c r="A165" s="22" t="s">
        <v>81</v>
      </c>
      <c r="B165" s="25" t="s">
        <v>82</v>
      </c>
      <c r="C165" s="51"/>
      <c r="D165" s="24">
        <v>1</v>
      </c>
      <c r="E165" s="52"/>
    </row>
    <row r="166" spans="1:5" x14ac:dyDescent="0.3">
      <c r="A166" s="32" t="s">
        <v>83</v>
      </c>
      <c r="B166" s="35" t="s">
        <v>84</v>
      </c>
      <c r="C166" s="49"/>
      <c r="D166" s="34">
        <v>161.54</v>
      </c>
      <c r="E166" s="50"/>
    </row>
    <row r="167" spans="1:5" x14ac:dyDescent="0.3">
      <c r="A167" s="22" t="s">
        <v>85</v>
      </c>
      <c r="B167" s="25" t="s">
        <v>86</v>
      </c>
      <c r="C167" s="51"/>
      <c r="D167" s="24">
        <v>7.29</v>
      </c>
      <c r="E167" s="52"/>
    </row>
    <row r="168" spans="1:5" x14ac:dyDescent="0.3">
      <c r="A168" s="32" t="s">
        <v>111</v>
      </c>
      <c r="B168" s="35" t="s">
        <v>112</v>
      </c>
      <c r="C168" s="49"/>
      <c r="D168" s="34">
        <v>328.42</v>
      </c>
      <c r="E168" s="50"/>
    </row>
    <row r="169" spans="1:5" x14ac:dyDescent="0.3">
      <c r="A169" s="22" t="s">
        <v>87</v>
      </c>
      <c r="B169" s="25" t="s">
        <v>88</v>
      </c>
      <c r="C169" s="51"/>
      <c r="D169" s="24">
        <v>1</v>
      </c>
      <c r="E169" s="52"/>
    </row>
    <row r="170" spans="1:5" x14ac:dyDescent="0.3">
      <c r="A170" s="32" t="s">
        <v>89</v>
      </c>
      <c r="B170" s="35" t="s">
        <v>90</v>
      </c>
      <c r="C170" s="49"/>
      <c r="D170" s="34">
        <v>43.92</v>
      </c>
      <c r="E170" s="50"/>
    </row>
    <row r="171" spans="1:5" x14ac:dyDescent="0.3">
      <c r="A171" s="8" t="s">
        <v>91</v>
      </c>
      <c r="B171" s="8"/>
      <c r="C171" s="54">
        <v>6561.83</v>
      </c>
      <c r="D171" s="54">
        <v>1559.33</v>
      </c>
      <c r="E171" s="55" t="s">
        <v>139</v>
      </c>
    </row>
    <row r="173" spans="1:5" ht="21.75" customHeight="1" x14ac:dyDescent="0.3">
      <c r="A173" s="10" t="s">
        <v>140</v>
      </c>
      <c r="B173" s="10"/>
      <c r="C173" s="10"/>
      <c r="D173" s="10"/>
      <c r="E173" s="10"/>
    </row>
    <row r="174" spans="1:5" ht="15.75" customHeight="1" x14ac:dyDescent="0.3">
      <c r="A174" s="9" t="s">
        <v>141</v>
      </c>
      <c r="B174" s="9"/>
      <c r="C174" s="9"/>
      <c r="D174" s="9"/>
      <c r="E174" s="9"/>
    </row>
    <row r="175" spans="1:5" ht="18" customHeight="1" x14ac:dyDescent="0.3">
      <c r="A175" s="48" t="s">
        <v>64</v>
      </c>
      <c r="B175" s="48" t="s">
        <v>65</v>
      </c>
      <c r="C175" s="48" t="s">
        <v>66</v>
      </c>
      <c r="D175" s="48" t="s">
        <v>6</v>
      </c>
      <c r="E175" s="48"/>
    </row>
    <row r="176" spans="1:5" x14ac:dyDescent="0.3">
      <c r="A176" s="32" t="s">
        <v>67</v>
      </c>
      <c r="B176" s="35" t="s">
        <v>142</v>
      </c>
      <c r="C176" s="49"/>
      <c r="D176" s="34">
        <v>1208.22</v>
      </c>
      <c r="E176" s="50"/>
    </row>
    <row r="177" spans="1:5" x14ac:dyDescent="0.3">
      <c r="A177" s="22" t="s">
        <v>67</v>
      </c>
      <c r="B177" s="25" t="s">
        <v>68</v>
      </c>
      <c r="C177" s="24">
        <v>5178.1000000000004</v>
      </c>
      <c r="D177" s="51"/>
      <c r="E177" s="52"/>
    </row>
    <row r="178" spans="1:5" x14ac:dyDescent="0.3">
      <c r="A178" s="32" t="s">
        <v>143</v>
      </c>
      <c r="B178" s="35" t="s">
        <v>144</v>
      </c>
      <c r="C178" s="34">
        <v>91.68</v>
      </c>
      <c r="D178" s="49"/>
      <c r="E178" s="50"/>
    </row>
    <row r="179" spans="1:5" x14ac:dyDescent="0.3">
      <c r="A179" s="22" t="s">
        <v>71</v>
      </c>
      <c r="B179" s="25" t="s">
        <v>72</v>
      </c>
      <c r="C179" s="24">
        <v>69.2</v>
      </c>
      <c r="D179" s="51"/>
      <c r="E179" s="52"/>
    </row>
    <row r="180" spans="1:5" x14ac:dyDescent="0.3">
      <c r="A180" s="32" t="s">
        <v>75</v>
      </c>
      <c r="B180" s="35" t="s">
        <v>76</v>
      </c>
      <c r="C180" s="34">
        <v>140.76</v>
      </c>
      <c r="D180" s="49"/>
      <c r="E180" s="50"/>
    </row>
    <row r="181" spans="1:5" x14ac:dyDescent="0.3">
      <c r="A181" s="22" t="s">
        <v>134</v>
      </c>
      <c r="B181" s="25" t="s">
        <v>145</v>
      </c>
      <c r="C181" s="24">
        <v>1208.22</v>
      </c>
      <c r="D181" s="51"/>
      <c r="E181" s="52"/>
    </row>
    <row r="182" spans="1:5" x14ac:dyDescent="0.3">
      <c r="A182" s="32" t="s">
        <v>77</v>
      </c>
      <c r="B182" s="35" t="s">
        <v>78</v>
      </c>
      <c r="C182" s="49"/>
      <c r="D182" s="34">
        <v>563.91</v>
      </c>
      <c r="E182" s="50"/>
    </row>
    <row r="183" spans="1:5" x14ac:dyDescent="0.3">
      <c r="A183" s="22" t="s">
        <v>79</v>
      </c>
      <c r="B183" s="25" t="s">
        <v>80</v>
      </c>
      <c r="C183" s="51"/>
      <c r="D183" s="24">
        <v>311.92</v>
      </c>
      <c r="E183" s="52"/>
    </row>
    <row r="184" spans="1:5" x14ac:dyDescent="0.3">
      <c r="A184" s="32" t="s">
        <v>81</v>
      </c>
      <c r="B184" s="35" t="s">
        <v>82</v>
      </c>
      <c r="C184" s="49"/>
      <c r="D184" s="34">
        <v>1</v>
      </c>
      <c r="E184" s="50"/>
    </row>
    <row r="185" spans="1:5" x14ac:dyDescent="0.3">
      <c r="A185" s="22" t="s">
        <v>83</v>
      </c>
      <c r="B185" s="25" t="s">
        <v>84</v>
      </c>
      <c r="C185" s="51"/>
      <c r="D185" s="24">
        <v>148.16999999999999</v>
      </c>
      <c r="E185" s="52"/>
    </row>
    <row r="186" spans="1:5" x14ac:dyDescent="0.3">
      <c r="A186" s="32" t="s">
        <v>85</v>
      </c>
      <c r="B186" s="35" t="s">
        <v>86</v>
      </c>
      <c r="C186" s="49"/>
      <c r="D186" s="34">
        <v>7.29</v>
      </c>
      <c r="E186" s="50"/>
    </row>
    <row r="187" spans="1:5" x14ac:dyDescent="0.3">
      <c r="A187" s="22" t="s">
        <v>111</v>
      </c>
      <c r="B187" s="25" t="s">
        <v>112</v>
      </c>
      <c r="C187" s="51"/>
      <c r="D187" s="24">
        <v>265.32</v>
      </c>
      <c r="E187" s="52"/>
    </row>
    <row r="188" spans="1:5" x14ac:dyDescent="0.3">
      <c r="A188" s="32" t="s">
        <v>87</v>
      </c>
      <c r="B188" s="35" t="s">
        <v>88</v>
      </c>
      <c r="C188" s="49"/>
      <c r="D188" s="34">
        <v>1</v>
      </c>
      <c r="E188" s="50"/>
    </row>
    <row r="189" spans="1:5" x14ac:dyDescent="0.3">
      <c r="A189" s="22" t="s">
        <v>89</v>
      </c>
      <c r="B189" s="25" t="s">
        <v>90</v>
      </c>
      <c r="C189" s="51"/>
      <c r="D189" s="24">
        <v>43.92</v>
      </c>
      <c r="E189" s="52"/>
    </row>
    <row r="190" spans="1:5" x14ac:dyDescent="0.3">
      <c r="A190" s="8" t="s">
        <v>91</v>
      </c>
      <c r="B190" s="8"/>
      <c r="C190" s="54">
        <v>6687.96</v>
      </c>
      <c r="D190" s="54">
        <v>2550.75</v>
      </c>
      <c r="E190" s="55" t="s">
        <v>146</v>
      </c>
    </row>
    <row r="192" spans="1:5" ht="21.75" customHeight="1" x14ac:dyDescent="0.3">
      <c r="A192" s="10" t="s">
        <v>147</v>
      </c>
      <c r="B192" s="10"/>
      <c r="C192" s="10"/>
      <c r="D192" s="10"/>
      <c r="E192" s="10"/>
    </row>
    <row r="193" spans="1:5" ht="15.75" customHeight="1" x14ac:dyDescent="0.3">
      <c r="A193" s="9" t="s">
        <v>148</v>
      </c>
      <c r="B193" s="9"/>
      <c r="C193" s="9"/>
      <c r="D193" s="9"/>
      <c r="E193" s="9"/>
    </row>
    <row r="194" spans="1:5" ht="18" customHeight="1" x14ac:dyDescent="0.3">
      <c r="A194" s="48" t="s">
        <v>64</v>
      </c>
      <c r="B194" s="48" t="s">
        <v>65</v>
      </c>
      <c r="C194" s="48" t="s">
        <v>66</v>
      </c>
      <c r="D194" s="48" t="s">
        <v>6</v>
      </c>
      <c r="E194" s="48"/>
    </row>
    <row r="195" spans="1:5" x14ac:dyDescent="0.3">
      <c r="A195" s="32" t="s">
        <v>67</v>
      </c>
      <c r="B195" s="35" t="s">
        <v>149</v>
      </c>
      <c r="C195" s="49"/>
      <c r="D195" s="34">
        <v>172.6</v>
      </c>
      <c r="E195" s="50"/>
    </row>
    <row r="196" spans="1:5" x14ac:dyDescent="0.3">
      <c r="A196" s="22" t="s">
        <v>67</v>
      </c>
      <c r="B196" s="25" t="s">
        <v>68</v>
      </c>
      <c r="C196" s="24">
        <v>5178.1000000000004</v>
      </c>
      <c r="D196" s="51"/>
      <c r="E196" s="52"/>
    </row>
    <row r="197" spans="1:5" x14ac:dyDescent="0.3">
      <c r="A197" s="32" t="s">
        <v>143</v>
      </c>
      <c r="B197" s="35" t="s">
        <v>144</v>
      </c>
      <c r="C197" s="34">
        <v>687.62</v>
      </c>
      <c r="D197" s="49"/>
      <c r="E197" s="50"/>
    </row>
    <row r="198" spans="1:5" x14ac:dyDescent="0.3">
      <c r="A198" s="22" t="s">
        <v>71</v>
      </c>
      <c r="B198" s="25" t="s">
        <v>150</v>
      </c>
      <c r="C198" s="24">
        <v>519</v>
      </c>
      <c r="D198" s="51"/>
      <c r="E198" s="52"/>
    </row>
    <row r="199" spans="1:5" x14ac:dyDescent="0.3">
      <c r="A199" s="32" t="s">
        <v>143</v>
      </c>
      <c r="B199" s="35" t="s">
        <v>151</v>
      </c>
      <c r="C199" s="34">
        <v>595.94000000000005</v>
      </c>
      <c r="D199" s="49"/>
      <c r="E199" s="50"/>
    </row>
    <row r="200" spans="1:5" x14ac:dyDescent="0.3">
      <c r="A200" s="22" t="s">
        <v>71</v>
      </c>
      <c r="B200" s="25" t="s">
        <v>152</v>
      </c>
      <c r="C200" s="24">
        <v>618.41999999999996</v>
      </c>
      <c r="D200" s="51"/>
      <c r="E200" s="52"/>
    </row>
    <row r="201" spans="1:5" x14ac:dyDescent="0.3">
      <c r="A201" s="32" t="s">
        <v>75</v>
      </c>
      <c r="B201" s="35" t="s">
        <v>153</v>
      </c>
      <c r="C201" s="34">
        <v>5</v>
      </c>
      <c r="D201" s="49"/>
      <c r="E201" s="50"/>
    </row>
    <row r="202" spans="1:5" x14ac:dyDescent="0.3">
      <c r="A202" s="22" t="s">
        <v>75</v>
      </c>
      <c r="B202" s="25" t="s">
        <v>154</v>
      </c>
      <c r="C202" s="51"/>
      <c r="D202" s="24">
        <v>119.49</v>
      </c>
      <c r="E202" s="52"/>
    </row>
    <row r="203" spans="1:5" x14ac:dyDescent="0.3">
      <c r="A203" s="32" t="s">
        <v>75</v>
      </c>
      <c r="B203" s="35" t="s">
        <v>76</v>
      </c>
      <c r="C203" s="34">
        <v>110.64</v>
      </c>
      <c r="D203" s="49"/>
      <c r="E203" s="50"/>
    </row>
    <row r="204" spans="1:5" x14ac:dyDescent="0.3">
      <c r="A204" s="22" t="s">
        <v>134</v>
      </c>
      <c r="B204" s="25" t="s">
        <v>155</v>
      </c>
      <c r="C204" s="24">
        <v>172.6</v>
      </c>
      <c r="D204" s="51"/>
      <c r="E204" s="52"/>
    </row>
    <row r="205" spans="1:5" x14ac:dyDescent="0.3">
      <c r="A205" s="32" t="s">
        <v>77</v>
      </c>
      <c r="B205" s="35" t="s">
        <v>156</v>
      </c>
      <c r="C205" s="49"/>
      <c r="D205" s="34">
        <v>0.7</v>
      </c>
      <c r="E205" s="50"/>
    </row>
    <row r="206" spans="1:5" x14ac:dyDescent="0.3">
      <c r="A206" s="22" t="s">
        <v>77</v>
      </c>
      <c r="B206" s="25" t="s">
        <v>157</v>
      </c>
      <c r="C206" s="24">
        <v>16.73</v>
      </c>
      <c r="D206" s="51"/>
      <c r="E206" s="52"/>
    </row>
    <row r="207" spans="1:5" x14ac:dyDescent="0.3">
      <c r="A207" s="32" t="s">
        <v>77</v>
      </c>
      <c r="B207" s="35" t="s">
        <v>78</v>
      </c>
      <c r="C207" s="49"/>
      <c r="D207" s="34">
        <v>709.24</v>
      </c>
      <c r="E207" s="50"/>
    </row>
    <row r="208" spans="1:5" x14ac:dyDescent="0.3">
      <c r="A208" s="22" t="s">
        <v>79</v>
      </c>
      <c r="B208" s="25" t="s">
        <v>80</v>
      </c>
      <c r="C208" s="51"/>
      <c r="D208" s="24">
        <v>829.31</v>
      </c>
      <c r="E208" s="52"/>
    </row>
    <row r="209" spans="1:5" x14ac:dyDescent="0.3">
      <c r="A209" s="32" t="s">
        <v>81</v>
      </c>
      <c r="B209" s="35" t="s">
        <v>82</v>
      </c>
      <c r="C209" s="49"/>
      <c r="D209" s="34">
        <v>1</v>
      </c>
      <c r="E209" s="50"/>
    </row>
    <row r="210" spans="1:5" x14ac:dyDescent="0.3">
      <c r="A210" s="22" t="s">
        <v>158</v>
      </c>
      <c r="B210" s="25" t="s">
        <v>159</v>
      </c>
      <c r="C210" s="51"/>
      <c r="D210" s="24">
        <v>834.03</v>
      </c>
      <c r="E210" s="52"/>
    </row>
    <row r="211" spans="1:5" x14ac:dyDescent="0.3">
      <c r="A211" s="32" t="s">
        <v>83</v>
      </c>
      <c r="B211" s="35" t="s">
        <v>160</v>
      </c>
      <c r="C211" s="49"/>
      <c r="D211" s="34">
        <v>0.14000000000000001</v>
      </c>
      <c r="E211" s="50"/>
    </row>
    <row r="212" spans="1:5" x14ac:dyDescent="0.3">
      <c r="A212" s="22" t="s">
        <v>83</v>
      </c>
      <c r="B212" s="25" t="s">
        <v>161</v>
      </c>
      <c r="C212" s="24">
        <v>3.28</v>
      </c>
      <c r="D212" s="51"/>
      <c r="E212" s="52"/>
    </row>
    <row r="213" spans="1:5" x14ac:dyDescent="0.3">
      <c r="A213" s="32" t="s">
        <v>83</v>
      </c>
      <c r="B213" s="35" t="s">
        <v>84</v>
      </c>
      <c r="C213" s="49"/>
      <c r="D213" s="34">
        <v>205.85</v>
      </c>
      <c r="E213" s="50"/>
    </row>
    <row r="214" spans="1:5" x14ac:dyDescent="0.3">
      <c r="A214" s="22" t="s">
        <v>85</v>
      </c>
      <c r="B214" s="25" t="s">
        <v>86</v>
      </c>
      <c r="C214" s="51"/>
      <c r="D214" s="24">
        <v>7.29</v>
      </c>
      <c r="E214" s="52"/>
    </row>
    <row r="215" spans="1:5" x14ac:dyDescent="0.3">
      <c r="A215" s="32" t="s">
        <v>111</v>
      </c>
      <c r="B215" s="35" t="s">
        <v>112</v>
      </c>
      <c r="C215" s="49"/>
      <c r="D215" s="34">
        <v>635.77</v>
      </c>
      <c r="E215" s="50"/>
    </row>
    <row r="216" spans="1:5" x14ac:dyDescent="0.3">
      <c r="A216" s="22" t="s">
        <v>87</v>
      </c>
      <c r="B216" s="25" t="s">
        <v>88</v>
      </c>
      <c r="C216" s="51"/>
      <c r="D216" s="24">
        <v>1</v>
      </c>
      <c r="E216" s="52"/>
    </row>
    <row r="217" spans="1:5" x14ac:dyDescent="0.3">
      <c r="A217" s="32" t="s">
        <v>89</v>
      </c>
      <c r="B217" s="35" t="s">
        <v>90</v>
      </c>
      <c r="C217" s="49"/>
      <c r="D217" s="34">
        <v>43.92</v>
      </c>
      <c r="E217" s="50"/>
    </row>
    <row r="218" spans="1:5" x14ac:dyDescent="0.3">
      <c r="A218" s="8" t="s">
        <v>91</v>
      </c>
      <c r="B218" s="8"/>
      <c r="C218" s="54">
        <v>7907.33</v>
      </c>
      <c r="D218" s="54">
        <v>3560.34</v>
      </c>
      <c r="E218" s="55" t="s">
        <v>162</v>
      </c>
    </row>
    <row r="220" spans="1:5" ht="21.75" customHeight="1" x14ac:dyDescent="0.3">
      <c r="A220" s="10" t="s">
        <v>163</v>
      </c>
      <c r="B220" s="10"/>
      <c r="C220" s="10"/>
      <c r="D220" s="10"/>
      <c r="E220" s="10"/>
    </row>
    <row r="221" spans="1:5" ht="15.75" customHeight="1" x14ac:dyDescent="0.3">
      <c r="A221" s="9" t="s">
        <v>164</v>
      </c>
      <c r="B221" s="9"/>
      <c r="C221" s="9"/>
      <c r="D221" s="9"/>
      <c r="E221" s="9"/>
    </row>
    <row r="222" spans="1:5" ht="18" customHeight="1" x14ac:dyDescent="0.3">
      <c r="A222" s="48" t="s">
        <v>64</v>
      </c>
      <c r="B222" s="48" t="s">
        <v>65</v>
      </c>
      <c r="C222" s="48" t="s">
        <v>66</v>
      </c>
      <c r="D222" s="48" t="s">
        <v>6</v>
      </c>
      <c r="E222" s="48"/>
    </row>
    <row r="223" spans="1:5" x14ac:dyDescent="0.3">
      <c r="A223" s="32" t="s">
        <v>165</v>
      </c>
      <c r="B223" s="35" t="s">
        <v>166</v>
      </c>
      <c r="C223" s="34">
        <v>9.86</v>
      </c>
      <c r="D223" s="49"/>
      <c r="E223" s="50"/>
    </row>
    <row r="224" spans="1:5" x14ac:dyDescent="0.3">
      <c r="A224" s="22" t="s">
        <v>167</v>
      </c>
      <c r="B224" s="25" t="s">
        <v>168</v>
      </c>
      <c r="C224" s="24">
        <v>0.53</v>
      </c>
      <c r="D224" s="51"/>
      <c r="E224" s="52"/>
    </row>
    <row r="225" spans="1:5" x14ac:dyDescent="0.3">
      <c r="A225" s="32" t="s">
        <v>169</v>
      </c>
      <c r="B225" s="35" t="s">
        <v>170</v>
      </c>
      <c r="C225" s="34">
        <v>42.44</v>
      </c>
      <c r="D225" s="49"/>
      <c r="E225" s="50"/>
    </row>
    <row r="226" spans="1:5" x14ac:dyDescent="0.3">
      <c r="A226" s="22" t="s">
        <v>171</v>
      </c>
      <c r="B226" s="25" t="s">
        <v>172</v>
      </c>
      <c r="C226" s="24">
        <v>4304.6099999999997</v>
      </c>
      <c r="D226" s="51"/>
      <c r="E226" s="52"/>
    </row>
    <row r="227" spans="1:5" x14ac:dyDescent="0.3">
      <c r="A227" s="32" t="s">
        <v>173</v>
      </c>
      <c r="B227" s="35" t="s">
        <v>174</v>
      </c>
      <c r="C227" s="34">
        <v>2589.0500000000002</v>
      </c>
      <c r="D227" s="49"/>
      <c r="E227" s="50"/>
    </row>
    <row r="228" spans="1:5" x14ac:dyDescent="0.3">
      <c r="A228" s="22" t="s">
        <v>175</v>
      </c>
      <c r="B228" s="25" t="s">
        <v>176</v>
      </c>
      <c r="C228" s="51"/>
      <c r="D228" s="24">
        <v>612</v>
      </c>
      <c r="E228" s="52"/>
    </row>
    <row r="229" spans="1:5" x14ac:dyDescent="0.3">
      <c r="A229" s="32" t="s">
        <v>177</v>
      </c>
      <c r="B229" s="35" t="s">
        <v>178</v>
      </c>
      <c r="C229" s="49"/>
      <c r="D229" s="34">
        <v>782.09</v>
      </c>
      <c r="E229" s="50"/>
    </row>
    <row r="230" spans="1:5" x14ac:dyDescent="0.3">
      <c r="A230" s="22" t="s">
        <v>179</v>
      </c>
      <c r="B230" s="25" t="s">
        <v>180</v>
      </c>
      <c r="C230" s="51"/>
      <c r="D230" s="24">
        <v>447.42</v>
      </c>
      <c r="E230" s="52"/>
    </row>
    <row r="231" spans="1:5" x14ac:dyDescent="0.3">
      <c r="A231" s="32" t="s">
        <v>181</v>
      </c>
      <c r="B231" s="35" t="s">
        <v>182</v>
      </c>
      <c r="C231" s="49"/>
      <c r="D231" s="34">
        <v>255.28</v>
      </c>
      <c r="E231" s="50"/>
    </row>
    <row r="232" spans="1:5" x14ac:dyDescent="0.3">
      <c r="A232" s="22" t="s">
        <v>183</v>
      </c>
      <c r="B232" s="25" t="s">
        <v>184</v>
      </c>
      <c r="C232" s="51"/>
      <c r="D232" s="24">
        <v>316.95</v>
      </c>
      <c r="E232" s="52"/>
    </row>
    <row r="233" spans="1:5" x14ac:dyDescent="0.3">
      <c r="A233" s="8" t="s">
        <v>91</v>
      </c>
      <c r="B233" s="8"/>
      <c r="C233" s="54">
        <v>6946.49</v>
      </c>
      <c r="D233" s="54">
        <v>2413.7399999999998</v>
      </c>
      <c r="E233" s="55" t="s">
        <v>185</v>
      </c>
    </row>
    <row r="235" spans="1:5" ht="21.75" customHeight="1" x14ac:dyDescent="0.3">
      <c r="A235" s="10" t="s">
        <v>186</v>
      </c>
      <c r="B235" s="10"/>
      <c r="C235" s="10"/>
      <c r="D235" s="10"/>
      <c r="E235" s="10"/>
    </row>
    <row r="236" spans="1:5" ht="15.75" customHeight="1" x14ac:dyDescent="0.3">
      <c r="A236" s="9" t="s">
        <v>187</v>
      </c>
      <c r="B236" s="9"/>
      <c r="C236" s="9"/>
      <c r="D236" s="9"/>
      <c r="E236" s="9"/>
    </row>
    <row r="237" spans="1:5" ht="18" customHeight="1" x14ac:dyDescent="0.3">
      <c r="A237" s="48" t="s">
        <v>64</v>
      </c>
      <c r="B237" s="48" t="s">
        <v>65</v>
      </c>
      <c r="C237" s="48" t="s">
        <v>66</v>
      </c>
      <c r="D237" s="48" t="s">
        <v>6</v>
      </c>
      <c r="E237" s="48"/>
    </row>
    <row r="238" spans="1:5" x14ac:dyDescent="0.3">
      <c r="A238" s="32" t="s">
        <v>188</v>
      </c>
      <c r="B238" s="35" t="s">
        <v>189</v>
      </c>
      <c r="C238" s="34">
        <v>5178.1000000000004</v>
      </c>
      <c r="D238" s="49"/>
      <c r="E238" s="50"/>
    </row>
    <row r="239" spans="1:5" x14ac:dyDescent="0.3">
      <c r="A239" s="22" t="s">
        <v>190</v>
      </c>
      <c r="B239" s="25" t="s">
        <v>191</v>
      </c>
      <c r="C239" s="24">
        <v>19.68</v>
      </c>
      <c r="D239" s="51"/>
      <c r="E239" s="52"/>
    </row>
    <row r="240" spans="1:5" x14ac:dyDescent="0.3">
      <c r="A240" s="32" t="s">
        <v>192</v>
      </c>
      <c r="B240" s="35" t="s">
        <v>193</v>
      </c>
      <c r="C240" s="34">
        <v>1.04</v>
      </c>
      <c r="D240" s="49"/>
      <c r="E240" s="50"/>
    </row>
    <row r="241" spans="1:5" x14ac:dyDescent="0.3">
      <c r="A241" s="22" t="s">
        <v>194</v>
      </c>
      <c r="B241" s="25" t="s">
        <v>195</v>
      </c>
      <c r="C241" s="24">
        <v>92.24</v>
      </c>
      <c r="D241" s="51"/>
      <c r="E241" s="52"/>
    </row>
    <row r="242" spans="1:5" x14ac:dyDescent="0.3">
      <c r="A242" s="32" t="s">
        <v>196</v>
      </c>
      <c r="B242" s="35" t="s">
        <v>197</v>
      </c>
      <c r="C242" s="49"/>
      <c r="D242" s="34">
        <v>550.33000000000004</v>
      </c>
      <c r="E242" s="50"/>
    </row>
    <row r="243" spans="1:5" x14ac:dyDescent="0.3">
      <c r="A243" s="22" t="s">
        <v>198</v>
      </c>
      <c r="B243" s="25" t="s">
        <v>199</v>
      </c>
      <c r="C243" s="51"/>
      <c r="D243" s="24">
        <v>273.12</v>
      </c>
      <c r="E243" s="52"/>
    </row>
    <row r="244" spans="1:5" x14ac:dyDescent="0.3">
      <c r="A244" s="32" t="s">
        <v>200</v>
      </c>
      <c r="B244" s="35" t="s">
        <v>201</v>
      </c>
      <c r="C244" s="49"/>
      <c r="D244" s="34">
        <v>2589.0500000000002</v>
      </c>
      <c r="E244" s="50"/>
    </row>
    <row r="245" spans="1:5" x14ac:dyDescent="0.3">
      <c r="A245" s="22" t="s">
        <v>202</v>
      </c>
      <c r="B245" s="25" t="s">
        <v>203</v>
      </c>
      <c r="C245" s="51"/>
      <c r="D245" s="24">
        <v>145.5</v>
      </c>
      <c r="E245" s="52"/>
    </row>
    <row r="246" spans="1:5" x14ac:dyDescent="0.3">
      <c r="A246" s="8" t="s">
        <v>91</v>
      </c>
      <c r="B246" s="8"/>
      <c r="C246" s="54">
        <v>5291.06</v>
      </c>
      <c r="D246" s="54">
        <v>3558</v>
      </c>
      <c r="E246" s="55" t="s">
        <v>204</v>
      </c>
    </row>
  </sheetData>
  <mergeCells count="41">
    <mergeCell ref="A246:B246"/>
    <mergeCell ref="A220:E220"/>
    <mergeCell ref="A221:E221"/>
    <mergeCell ref="A233:B233"/>
    <mergeCell ref="A235:E235"/>
    <mergeCell ref="A236:E236"/>
    <mergeCell ref="A174:E174"/>
    <mergeCell ref="A190:B190"/>
    <mergeCell ref="A192:E192"/>
    <mergeCell ref="A193:E193"/>
    <mergeCell ref="A218:B218"/>
    <mergeCell ref="A151:B151"/>
    <mergeCell ref="A153:E153"/>
    <mergeCell ref="A154:E154"/>
    <mergeCell ref="A171:B171"/>
    <mergeCell ref="A173:E173"/>
    <mergeCell ref="A116:E116"/>
    <mergeCell ref="A117:E117"/>
    <mergeCell ref="A132:B132"/>
    <mergeCell ref="A134:E134"/>
    <mergeCell ref="A135:E135"/>
    <mergeCell ref="A79:E79"/>
    <mergeCell ref="A93:B93"/>
    <mergeCell ref="A95:E95"/>
    <mergeCell ref="A96:E96"/>
    <mergeCell ref="A114:B114"/>
    <mergeCell ref="A45:E45"/>
    <mergeCell ref="A59:B59"/>
    <mergeCell ref="A61:E61"/>
    <mergeCell ref="A62:E62"/>
    <mergeCell ref="A77:B77"/>
    <mergeCell ref="A36:B36"/>
    <mergeCell ref="A38:E38"/>
    <mergeCell ref="A39:E39"/>
    <mergeCell ref="A42:B42"/>
    <mergeCell ref="A44:E44"/>
    <mergeCell ref="A1:E1"/>
    <mergeCell ref="A2:E2"/>
    <mergeCell ref="A16:B16"/>
    <mergeCell ref="A18:E18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showGridLines="0" topLeftCell="A14" zoomScaleNormal="100" workbookViewId="0">
      <selection sqref="A1:C1"/>
    </sheetView>
  </sheetViews>
  <sheetFormatPr defaultColWidth="8.6640625" defaultRowHeight="14.4" x14ac:dyDescent="0.3"/>
  <cols>
    <col min="1" max="1" width="52" customWidth="1"/>
    <col min="2" max="2" width="6" customWidth="1"/>
    <col min="3" max="3" width="20.44140625" customWidth="1"/>
  </cols>
  <sheetData>
    <row r="1" spans="1:3" ht="27.75" customHeight="1" x14ac:dyDescent="0.3">
      <c r="A1" s="7" t="s">
        <v>205</v>
      </c>
      <c r="B1" s="7"/>
      <c r="C1" s="7"/>
    </row>
    <row r="2" spans="1:3" ht="15.75" customHeight="1" x14ac:dyDescent="0.3">
      <c r="A2" s="6" t="s">
        <v>206</v>
      </c>
      <c r="B2" s="6"/>
      <c r="C2" s="6"/>
    </row>
    <row r="4" spans="1:3" ht="21.75" customHeight="1" x14ac:dyDescent="0.3">
      <c r="A4" s="5" t="s">
        <v>207</v>
      </c>
      <c r="B4" s="5"/>
      <c r="C4" s="5"/>
    </row>
    <row r="5" spans="1:3" x14ac:dyDescent="0.3">
      <c r="A5" s="4" t="s">
        <v>208</v>
      </c>
      <c r="B5" s="4"/>
      <c r="C5" s="56">
        <v>77811.429999999993</v>
      </c>
    </row>
    <row r="6" spans="1:3" x14ac:dyDescent="0.3">
      <c r="A6" s="3" t="s">
        <v>209</v>
      </c>
      <c r="B6" s="3"/>
      <c r="C6" s="57">
        <v>7961.25</v>
      </c>
    </row>
    <row r="7" spans="1:3" x14ac:dyDescent="0.3">
      <c r="A7" s="4" t="s">
        <v>210</v>
      </c>
      <c r="B7" s="4"/>
      <c r="C7" s="56">
        <v>2415.75</v>
      </c>
    </row>
    <row r="8" spans="1:3" x14ac:dyDescent="0.3">
      <c r="A8" s="3" t="s">
        <v>211</v>
      </c>
      <c r="B8" s="3"/>
      <c r="C8" s="57">
        <v>0</v>
      </c>
    </row>
    <row r="9" spans="1:3" x14ac:dyDescent="0.3">
      <c r="A9" s="4" t="s">
        <v>212</v>
      </c>
      <c r="B9" s="4"/>
      <c r="C9" s="56">
        <v>5703.99</v>
      </c>
    </row>
    <row r="11" spans="1:3" ht="21.75" customHeight="1" x14ac:dyDescent="0.3">
      <c r="A11" s="5" t="s">
        <v>213</v>
      </c>
      <c r="B11" s="5"/>
      <c r="C11" s="5"/>
    </row>
    <row r="12" spans="1:3" x14ac:dyDescent="0.3">
      <c r="A12" s="4" t="s">
        <v>214</v>
      </c>
      <c r="B12" s="4"/>
      <c r="C12" s="56">
        <v>6334.9</v>
      </c>
    </row>
    <row r="13" spans="1:3" x14ac:dyDescent="0.3">
      <c r="A13" s="2" t="s">
        <v>215</v>
      </c>
      <c r="B13" s="2"/>
      <c r="C13" s="2"/>
    </row>
    <row r="15" spans="1:3" ht="21.75" customHeight="1" x14ac:dyDescent="0.3">
      <c r="A15" s="5" t="s">
        <v>216</v>
      </c>
      <c r="B15" s="5"/>
      <c r="C15" s="5"/>
    </row>
    <row r="16" spans="1:3" x14ac:dyDescent="0.3">
      <c r="A16" s="4" t="s">
        <v>217</v>
      </c>
      <c r="B16" s="4"/>
      <c r="C16" s="56">
        <v>4032.78</v>
      </c>
    </row>
    <row r="17" spans="1:3" x14ac:dyDescent="0.3">
      <c r="A17" s="3" t="s">
        <v>218</v>
      </c>
      <c r="B17" s="3"/>
      <c r="C17" s="57">
        <v>299.20999999999998</v>
      </c>
    </row>
    <row r="18" spans="1:3" x14ac:dyDescent="0.3">
      <c r="A18" s="4" t="s">
        <v>219</v>
      </c>
      <c r="B18" s="4"/>
      <c r="C18" s="56">
        <v>4692.3</v>
      </c>
    </row>
    <row r="19" spans="1:3" x14ac:dyDescent="0.3">
      <c r="A19" s="2" t="s">
        <v>220</v>
      </c>
      <c r="B19" s="2"/>
      <c r="C19" s="2"/>
    </row>
    <row r="21" spans="1:3" ht="21.75" customHeight="1" x14ac:dyDescent="0.3">
      <c r="A21" s="1" t="s">
        <v>221</v>
      </c>
      <c r="B21" s="1"/>
      <c r="C21" s="1"/>
    </row>
    <row r="22" spans="1:3" x14ac:dyDescent="0.3">
      <c r="A22" s="59" t="s">
        <v>222</v>
      </c>
      <c r="B22" s="59"/>
      <c r="C22" s="58">
        <v>1323.51</v>
      </c>
    </row>
    <row r="23" spans="1:3" x14ac:dyDescent="0.3">
      <c r="A23" s="3" t="s">
        <v>223</v>
      </c>
      <c r="B23" s="3"/>
      <c r="C23" s="57">
        <v>346.65</v>
      </c>
    </row>
    <row r="24" spans="1:3" x14ac:dyDescent="0.3">
      <c r="A24" s="59" t="s">
        <v>224</v>
      </c>
      <c r="B24" s="59"/>
      <c r="C24" s="58">
        <v>487.68</v>
      </c>
    </row>
    <row r="25" spans="1:3" x14ac:dyDescent="0.3">
      <c r="A25" s="3" t="s">
        <v>225</v>
      </c>
      <c r="B25" s="3"/>
      <c r="C25" s="57">
        <v>561.24</v>
      </c>
    </row>
    <row r="26" spans="1:3" x14ac:dyDescent="0.3">
      <c r="A26" s="59" t="s">
        <v>226</v>
      </c>
      <c r="B26" s="59"/>
      <c r="C26" s="58">
        <v>138.18</v>
      </c>
    </row>
    <row r="27" spans="1:3" x14ac:dyDescent="0.3">
      <c r="A27" s="3" t="s">
        <v>227</v>
      </c>
      <c r="B27" s="3"/>
      <c r="C27" s="57">
        <v>138.18</v>
      </c>
    </row>
    <row r="28" spans="1:3" x14ac:dyDescent="0.3">
      <c r="A28" s="59" t="s">
        <v>228</v>
      </c>
      <c r="B28" s="59"/>
      <c r="C28" s="58">
        <v>138.18</v>
      </c>
    </row>
    <row r="29" spans="1:3" x14ac:dyDescent="0.3">
      <c r="A29" s="3" t="s">
        <v>229</v>
      </c>
      <c r="B29" s="3"/>
      <c r="C29" s="57">
        <v>138.18</v>
      </c>
    </row>
    <row r="30" spans="1:3" x14ac:dyDescent="0.3">
      <c r="A30" s="60"/>
      <c r="B30" s="60"/>
    </row>
    <row r="31" spans="1:3" x14ac:dyDescent="0.3">
      <c r="A31" s="61" t="s">
        <v>230</v>
      </c>
      <c r="B31" s="61"/>
      <c r="C31" s="46">
        <v>3271.8</v>
      </c>
    </row>
  </sheetData>
  <mergeCells count="27">
    <mergeCell ref="A30:B30"/>
    <mergeCell ref="A31:B31"/>
    <mergeCell ref="A25:B25"/>
    <mergeCell ref="A26:B26"/>
    <mergeCell ref="A27:B27"/>
    <mergeCell ref="A28:B28"/>
    <mergeCell ref="A29:B29"/>
    <mergeCell ref="A19:C19"/>
    <mergeCell ref="A21:C21"/>
    <mergeCell ref="A22:B22"/>
    <mergeCell ref="A23:B23"/>
    <mergeCell ref="A24:B24"/>
    <mergeCell ref="A13:C13"/>
    <mergeCell ref="A15:C15"/>
    <mergeCell ref="A16:B16"/>
    <mergeCell ref="A17:B17"/>
    <mergeCell ref="A18:B18"/>
    <mergeCell ref="A7:B7"/>
    <mergeCell ref="A8:B8"/>
    <mergeCell ref="A9:B9"/>
    <mergeCell ref="A11:C11"/>
    <mergeCell ref="A12:B12"/>
    <mergeCell ref="A1:C1"/>
    <mergeCell ref="A2:C2"/>
    <mergeCell ref="A4:C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showGridLines="0" tabSelected="1" zoomScaleNormal="100" workbookViewId="0">
      <selection activeCell="I10" sqref="I10"/>
    </sheetView>
  </sheetViews>
  <sheetFormatPr defaultColWidth="8.6640625" defaultRowHeight="14.4" x14ac:dyDescent="0.3"/>
  <cols>
    <col min="1" max="1" width="30" customWidth="1"/>
    <col min="2" max="2" width="17" customWidth="1"/>
    <col min="3" max="3" width="14" customWidth="1"/>
    <col min="4" max="4" width="12" customWidth="1"/>
    <col min="5" max="5" width="18" customWidth="1"/>
    <col min="6" max="6" width="10" customWidth="1"/>
    <col min="7" max="7" width="20" customWidth="1"/>
  </cols>
  <sheetData>
    <row r="1" spans="1:7" ht="27.75" customHeight="1" x14ac:dyDescent="0.3">
      <c r="A1" s="7" t="s">
        <v>231</v>
      </c>
      <c r="B1" s="7"/>
      <c r="C1" s="7"/>
      <c r="D1" s="7"/>
      <c r="E1" s="7"/>
      <c r="F1" s="7"/>
      <c r="G1" s="7"/>
    </row>
    <row r="3" spans="1:7" ht="30" customHeight="1" x14ac:dyDescent="0.3">
      <c r="A3" s="15" t="s">
        <v>232</v>
      </c>
      <c r="B3" s="15" t="s">
        <v>233</v>
      </c>
      <c r="C3" s="15" t="s">
        <v>8</v>
      </c>
      <c r="D3" s="15" t="s">
        <v>84</v>
      </c>
      <c r="E3" s="15" t="s">
        <v>234</v>
      </c>
      <c r="F3" s="15" t="s">
        <v>235</v>
      </c>
      <c r="G3" s="15" t="s">
        <v>236</v>
      </c>
    </row>
    <row r="4" spans="1:7" x14ac:dyDescent="0.3">
      <c r="A4" s="35" t="s">
        <v>12</v>
      </c>
      <c r="B4" s="34">
        <v>665.07</v>
      </c>
      <c r="C4" s="34">
        <v>611</v>
      </c>
      <c r="D4" s="34">
        <v>157.41999999999999</v>
      </c>
      <c r="E4" s="34">
        <v>0</v>
      </c>
      <c r="F4" s="34">
        <v>48.2</v>
      </c>
      <c r="G4" s="63">
        <f t="shared" ref="G4:G17" si="0">SUM(C4:F4)</f>
        <v>816.62</v>
      </c>
    </row>
    <row r="5" spans="1:7" x14ac:dyDescent="0.3">
      <c r="A5" s="25" t="s">
        <v>16</v>
      </c>
      <c r="B5" s="24">
        <v>487.2</v>
      </c>
      <c r="C5" s="24">
        <v>662.18</v>
      </c>
      <c r="D5" s="24">
        <v>173.91</v>
      </c>
      <c r="E5" s="24">
        <v>0</v>
      </c>
      <c r="F5" s="24">
        <v>48.2</v>
      </c>
      <c r="G5" s="63">
        <f t="shared" si="0"/>
        <v>884.29</v>
      </c>
    </row>
    <row r="6" spans="1:7" x14ac:dyDescent="0.3">
      <c r="A6" s="31" t="s">
        <v>20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63">
        <f t="shared" si="0"/>
        <v>0</v>
      </c>
    </row>
    <row r="7" spans="1:7" x14ac:dyDescent="0.3">
      <c r="A7" s="25" t="s">
        <v>24</v>
      </c>
      <c r="B7" s="24">
        <v>462.31</v>
      </c>
      <c r="C7" s="24">
        <v>618.62</v>
      </c>
      <c r="D7" s="24">
        <v>158.91999999999999</v>
      </c>
      <c r="E7" s="24">
        <v>292.48</v>
      </c>
      <c r="F7" s="24">
        <v>48.2</v>
      </c>
      <c r="G7" s="63">
        <f t="shared" si="0"/>
        <v>1118.22</v>
      </c>
    </row>
    <row r="8" spans="1:7" x14ac:dyDescent="0.3">
      <c r="A8" s="35" t="s">
        <v>27</v>
      </c>
      <c r="B8" s="34">
        <v>474.97</v>
      </c>
      <c r="C8" s="34">
        <v>640.78</v>
      </c>
      <c r="D8" s="34">
        <v>163.27000000000001</v>
      </c>
      <c r="E8" s="34">
        <v>149.76</v>
      </c>
      <c r="F8" s="34">
        <v>48.2</v>
      </c>
      <c r="G8" s="63">
        <f t="shared" si="0"/>
        <v>1002.01</v>
      </c>
    </row>
    <row r="9" spans="1:7" x14ac:dyDescent="0.3">
      <c r="A9" s="25" t="s">
        <v>30</v>
      </c>
      <c r="B9" s="24">
        <v>462.61</v>
      </c>
      <c r="C9" s="24">
        <v>619.15</v>
      </c>
      <c r="D9" s="24">
        <v>159.02000000000001</v>
      </c>
      <c r="E9" s="24">
        <v>41.36</v>
      </c>
      <c r="F9" s="24">
        <v>48.2</v>
      </c>
      <c r="G9" s="63">
        <f t="shared" si="0"/>
        <v>867.73</v>
      </c>
    </row>
    <row r="10" spans="1:7" x14ac:dyDescent="0.3">
      <c r="A10" s="35" t="s">
        <v>32</v>
      </c>
      <c r="B10" s="34">
        <v>458.93</v>
      </c>
      <c r="C10" s="34">
        <v>629.24</v>
      </c>
      <c r="D10" s="34">
        <v>161.01</v>
      </c>
      <c r="E10" s="34">
        <v>31.56</v>
      </c>
      <c r="F10" s="34">
        <v>48.2</v>
      </c>
      <c r="G10" s="63">
        <f t="shared" si="0"/>
        <v>870.01</v>
      </c>
    </row>
    <row r="11" spans="1:7" x14ac:dyDescent="0.3">
      <c r="A11" s="25" t="s">
        <v>36</v>
      </c>
      <c r="B11" s="24">
        <v>458.23</v>
      </c>
      <c r="C11" s="24">
        <v>611.48</v>
      </c>
      <c r="D11" s="24">
        <v>157.52000000000001</v>
      </c>
      <c r="E11" s="24">
        <v>233.76</v>
      </c>
      <c r="F11" s="24">
        <v>43.92</v>
      </c>
      <c r="G11" s="63">
        <f t="shared" si="0"/>
        <v>1046.68</v>
      </c>
    </row>
    <row r="12" spans="1:7" x14ac:dyDescent="0.3">
      <c r="A12" s="35" t="s">
        <v>40</v>
      </c>
      <c r="B12" s="34">
        <v>457.87</v>
      </c>
      <c r="C12" s="34">
        <v>610.85</v>
      </c>
      <c r="D12" s="34">
        <v>157.38999999999999</v>
      </c>
      <c r="E12" s="34">
        <v>402.98</v>
      </c>
      <c r="F12" s="34">
        <v>43.92</v>
      </c>
      <c r="G12" s="63">
        <f t="shared" si="0"/>
        <v>1215.1400000000001</v>
      </c>
    </row>
    <row r="13" spans="1:7" x14ac:dyDescent="0.3">
      <c r="A13" s="25" t="s">
        <v>43</v>
      </c>
      <c r="B13" s="24">
        <v>469.94</v>
      </c>
      <c r="C13" s="24">
        <v>631.97</v>
      </c>
      <c r="D13" s="24">
        <v>161.54</v>
      </c>
      <c r="E13" s="24">
        <v>328.42</v>
      </c>
      <c r="F13" s="24">
        <v>43.92</v>
      </c>
      <c r="G13" s="63">
        <f t="shared" si="0"/>
        <v>1165.8500000000001</v>
      </c>
    </row>
    <row r="14" spans="1:7" x14ac:dyDescent="0.3">
      <c r="A14" s="35" t="s">
        <v>46</v>
      </c>
      <c r="B14" s="34">
        <v>431.04</v>
      </c>
      <c r="C14" s="34">
        <v>563.91</v>
      </c>
      <c r="D14" s="34">
        <v>148.16999999999999</v>
      </c>
      <c r="E14" s="34">
        <v>265.32</v>
      </c>
      <c r="F14" s="34">
        <v>43.92</v>
      </c>
      <c r="G14" s="63">
        <f t="shared" si="0"/>
        <v>1021.3199999999998</v>
      </c>
    </row>
    <row r="15" spans="1:7" x14ac:dyDescent="0.3">
      <c r="A15" s="25" t="s">
        <v>49</v>
      </c>
      <c r="B15" s="24">
        <v>514.09</v>
      </c>
      <c r="C15" s="24">
        <v>709.24</v>
      </c>
      <c r="D15" s="24">
        <v>205.85</v>
      </c>
      <c r="E15" s="24">
        <v>635.77</v>
      </c>
      <c r="F15" s="24">
        <v>43.92</v>
      </c>
      <c r="G15" s="63">
        <f t="shared" si="0"/>
        <v>1594.7800000000002</v>
      </c>
    </row>
    <row r="16" spans="1:7" x14ac:dyDescent="0.3">
      <c r="A16" s="35" t="s">
        <v>52</v>
      </c>
      <c r="B16" s="34">
        <v>0</v>
      </c>
      <c r="C16" s="34">
        <v>782.09</v>
      </c>
      <c r="D16" s="34">
        <v>255.28</v>
      </c>
      <c r="E16" s="34">
        <v>0</v>
      </c>
      <c r="F16" s="34">
        <v>0</v>
      </c>
      <c r="G16" s="63">
        <f t="shared" si="0"/>
        <v>1037.3700000000001</v>
      </c>
    </row>
    <row r="17" spans="1:7" x14ac:dyDescent="0.3">
      <c r="A17" s="25" t="s">
        <v>56</v>
      </c>
      <c r="B17" s="24">
        <v>216.16</v>
      </c>
      <c r="C17" s="24">
        <v>550.33000000000004</v>
      </c>
      <c r="D17" s="24">
        <v>145.5</v>
      </c>
      <c r="E17" s="24">
        <v>0</v>
      </c>
      <c r="F17" s="24">
        <v>0</v>
      </c>
      <c r="G17" s="63">
        <f t="shared" si="0"/>
        <v>695.83</v>
      </c>
    </row>
    <row r="18" spans="1:7" x14ac:dyDescent="0.3">
      <c r="A18" s="53" t="s">
        <v>237</v>
      </c>
      <c r="B18" s="46">
        <f t="shared" ref="B18:G18" si="1">SUM(B4:B17)</f>
        <v>5558.42</v>
      </c>
      <c r="C18" s="46">
        <f t="shared" si="1"/>
        <v>8240.840000000002</v>
      </c>
      <c r="D18" s="46">
        <f t="shared" si="1"/>
        <v>2204.8000000000002</v>
      </c>
      <c r="E18" s="46">
        <f t="shared" si="1"/>
        <v>2381.41</v>
      </c>
      <c r="F18" s="46">
        <f t="shared" si="1"/>
        <v>508.80000000000007</v>
      </c>
      <c r="G18" s="46">
        <f t="shared" si="1"/>
        <v>13335.850000000002</v>
      </c>
    </row>
    <row r="20" spans="1:7" ht="30" customHeight="1" x14ac:dyDescent="0.3">
      <c r="A20" s="62" t="s">
        <v>238</v>
      </c>
      <c r="B20" s="62"/>
      <c r="C20" s="62"/>
      <c r="D20" s="62"/>
      <c r="E20" s="62"/>
      <c r="F20" s="62"/>
      <c r="G20" s="62"/>
    </row>
  </sheetData>
  <mergeCells count="2">
    <mergeCell ref="A1:G1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📊 Resumo Anual</vt:lpstr>
      <vt:lpstr>📋 Detalhe por Mês</vt:lpstr>
      <vt:lpstr>📄 IRPF 2026</vt:lpstr>
      <vt:lpstr>🏦 FGTS e Deduções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Juliane Benetti</cp:lastModifiedBy>
  <cp:revision>0</cp:revision>
  <dcterms:created xsi:type="dcterms:W3CDTF">2026-05-05T00:30:13Z</dcterms:created>
  <dcterms:modified xsi:type="dcterms:W3CDTF">2026-05-05T00:44:13Z</dcterms:modified>
  <dc:language>en-US</dc:language>
</cp:coreProperties>
</file>